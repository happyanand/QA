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1"/>
  <workbookPr/>
  <mc:AlternateContent xmlns:mc="http://schemas.openxmlformats.org/markup-compatibility/2006">
    <mc:Choice Requires="x15">
      <x15ac:absPath xmlns:x15ac="http://schemas.microsoft.com/office/spreadsheetml/2010/11/ac" url="C:\Users\anilkumar.suram\Downloads\"/>
    </mc:Choice>
  </mc:AlternateContent>
  <xr:revisionPtr revIDLastSave="6071" documentId="11_929437E390604EF69690EA2D7E2054CC81D1A323" xr6:coauthVersionLast="47" xr6:coauthVersionMax="47" xr10:uidLastSave="{4514C2AF-0319-4249-AEC7-F5102C77469D}"/>
  <bookViews>
    <workbookView xWindow="0" yWindow="0" windowWidth="20490" windowHeight="7530" firstSheet="5" activeTab="8" xr2:uid="{00000000-000D-0000-FFFF-FFFF00000000}"/>
  </bookViews>
  <sheets>
    <sheet name="Summary" sheetId="4" r:id="rId1"/>
    <sheet name="Daily Status" sheetId="1" r:id="rId2"/>
    <sheet name="August" sheetId="3" r:id="rId3"/>
    <sheet name="September" sheetId="13" r:id="rId4"/>
    <sheet name="October" sheetId="14" r:id="rId5"/>
    <sheet name="November" sheetId="15" r:id="rId6"/>
    <sheet name="December" sheetId="16" r:id="rId7"/>
    <sheet name="January - 2024" sheetId="18" r:id="rId8"/>
    <sheet name="February - 2024" sheetId="19" r:id="rId9"/>
    <sheet name="FBMC Rules" sheetId="17" r:id="rId10"/>
    <sheet name="FBMC-RC" sheetId="11" r:id="rId11"/>
    <sheet name="IHA-Admin" sheetId="5" r:id="rId12"/>
    <sheet name="Speridian-Admin" sheetId="6" r:id="rId13"/>
    <sheet name="Speridian-Employee" sheetId="10" r:id="rId14"/>
    <sheet name="IHA-Employee" sheetId="9" r:id="rId15"/>
    <sheet name="FBMC-Employee" sheetId="8" r:id="rId16"/>
    <sheet name="FBMC-BA" sheetId="12" r:id="rId17"/>
    <sheet name="FBMC-Admin" sheetId="7" r:id="rId18"/>
    <sheet name="Overall_Status" sheetId="2" r:id="rId19"/>
  </sheets>
  <definedNames>
    <definedName name="_xlnm._FilterDatabase" localSheetId="6" hidden="1">December!$A$1:$J$1</definedName>
    <definedName name="_xlnm._FilterDatabase" localSheetId="5" hidden="1">November!$A$1:$A$88</definedName>
    <definedName name="_xlnm._FilterDatabase" localSheetId="4" hidden="1">October!$A$1:$I$77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4" l="1"/>
  <c r="E36" i="7"/>
  <c r="D24" i="4"/>
  <c r="E24" i="4"/>
  <c r="C24" i="4"/>
  <c r="H7" i="4"/>
  <c r="H4" i="4"/>
  <c r="H5" i="4"/>
  <c r="I2" i="4"/>
  <c r="I5" i="4"/>
  <c r="H8" i="4"/>
  <c r="I8" i="4" s="1"/>
  <c r="E25" i="4" l="1"/>
  <c r="D25" i="4"/>
</calcChain>
</file>

<file path=xl/sharedStrings.xml><?xml version="1.0" encoding="utf-8"?>
<sst xmlns="http://schemas.openxmlformats.org/spreadsheetml/2006/main" count="3932" uniqueCount="1288">
  <si>
    <t>Module</t>
  </si>
  <si>
    <t>User</t>
  </si>
  <si>
    <t>Activity</t>
  </si>
  <si>
    <t>TCS Count</t>
  </si>
  <si>
    <t>Failed TC Count</t>
  </si>
  <si>
    <t>Fixed/Passed</t>
  </si>
  <si>
    <t>Blocked</t>
  </si>
  <si>
    <t>Remaining</t>
  </si>
  <si>
    <t>Days to fix</t>
  </si>
  <si>
    <t>Time Taken To Execute Scripts</t>
  </si>
  <si>
    <t>Remarks</t>
  </si>
  <si>
    <t>FBMC</t>
  </si>
  <si>
    <t>Admin</t>
  </si>
  <si>
    <t xml:space="preserve">TC Design </t>
  </si>
  <si>
    <t>BA</t>
  </si>
  <si>
    <t>Employee</t>
  </si>
  <si>
    <t>21mins</t>
  </si>
  <si>
    <t>1. Enroll employee
2.Decline all coverage
for the above 2 Scenarioes are pending as we will pick later
3. ReEnroll Dental Plan facing application issue. 
Terminated Plan displayed in both Covered and Declined Plan.</t>
  </si>
  <si>
    <t>Speridian</t>
  </si>
  <si>
    <t>In-Progress</t>
  </si>
  <si>
    <t>40mins</t>
  </si>
  <si>
    <t>1.Employee Registration and Enrollment notification
2.Add and Edit Beneficiary
3.Enroll employee
4.Decline all coverage
for the above 4 Scenarioes are pending as we will pick later. 
Support User Search for BA Login under Review EmployeeTransactions 
Search not working Because of this Execution blocked</t>
  </si>
  <si>
    <t>IHA</t>
  </si>
  <si>
    <t>Client</t>
  </si>
  <si>
    <t>Login</t>
  </si>
  <si>
    <t>Flow Execution Count</t>
  </si>
  <si>
    <t>Passed Count</t>
  </si>
  <si>
    <t>Failed Count</t>
  </si>
  <si>
    <t>Execution Time</t>
  </si>
  <si>
    <t>Comment</t>
  </si>
  <si>
    <t>2Scenarioes are pending as we will pick later</t>
  </si>
  <si>
    <t>4Scenarioes are pending as we will pick later</t>
  </si>
  <si>
    <t>On Hold</t>
  </si>
  <si>
    <t> </t>
  </si>
  <si>
    <t>Total</t>
  </si>
  <si>
    <t>Percentage</t>
  </si>
  <si>
    <t>Product</t>
  </si>
  <si>
    <t>Test Flow Count</t>
  </si>
  <si>
    <t>Completed</t>
  </si>
  <si>
    <t>Progress %</t>
  </si>
  <si>
    <t>Role</t>
  </si>
  <si>
    <t>Start Date</t>
  </si>
  <si>
    <t>End Date</t>
  </si>
  <si>
    <t>Priority</t>
  </si>
  <si>
    <t>Status</t>
  </si>
  <si>
    <t>Comments</t>
  </si>
  <si>
    <t>EE</t>
  </si>
  <si>
    <t>Correspondence Center</t>
  </si>
  <si>
    <t>RC</t>
  </si>
  <si>
    <t>Admin, BA and Employee</t>
  </si>
  <si>
    <t>Completed(FBMC,Speridian)</t>
  </si>
  <si>
    <t>IHA (Admin and BA)Completed, (Employee)Inprogress - Because of Enrollment Notification Issue</t>
  </si>
  <si>
    <t>IHA- Flows</t>
  </si>
  <si>
    <t>EMPLOYEE LOGIN, Admin, BA login</t>
  </si>
  <si>
    <t>Email Log(3 Tenants)</t>
  </si>
  <si>
    <t>User Administration(3 Tenants) Admin</t>
  </si>
  <si>
    <t>Speridian and IHA are completed.FBMC in-progress
Broker Management
Marketing Web
Member Call Center
The above roles are not working and same confirmed from Saran.</t>
  </si>
  <si>
    <t>Transaction(IHA)</t>
  </si>
  <si>
    <t>On-Hold, we need data which needs to be provided by Dev team.</t>
  </si>
  <si>
    <t xml:space="preserve">11/06/23 - End Date - TBD, As the Multi Transaction Type related reports are failing while download, The Dev team is working on adding new Data for the same. </t>
  </si>
  <si>
    <t>Broker Management</t>
  </si>
  <si>
    <t>Manual TCs completed
Scripting Completed</t>
  </si>
  <si>
    <t>Content Management(6 sub)(IHA)</t>
  </si>
  <si>
    <t>Manual TCs completed</t>
  </si>
  <si>
    <t>Business Automation Rule</t>
  </si>
  <si>
    <t>Billing and Payment</t>
  </si>
  <si>
    <t>Email-Test execution Report</t>
  </si>
  <si>
    <t>All scripts execution</t>
  </si>
  <si>
    <t>TC Count</t>
  </si>
  <si>
    <t>Execution Count</t>
  </si>
  <si>
    <t>Passed TC Count</t>
  </si>
  <si>
    <t>TC Execution Time</t>
  </si>
  <si>
    <t>Reason for Failures</t>
  </si>
  <si>
    <t>1hour</t>
  </si>
  <si>
    <t>Analysis is in progress</t>
  </si>
  <si>
    <t>3hrs20mins</t>
  </si>
  <si>
    <t>1hr27mins</t>
  </si>
  <si>
    <t>1hrs50mins</t>
  </si>
  <si>
    <t>2 hrs 10 mins</t>
  </si>
  <si>
    <t xml:space="preserve">Facing application issue, the Enrol button is disabled. </t>
  </si>
  <si>
    <t>3 hrs 22 mins</t>
  </si>
  <si>
    <t xml:space="preserve">Change Plan, Update Covered Members, Terminate buttons are disabled. And also the Enrol button is disabled. </t>
  </si>
  <si>
    <t xml:space="preserve"> -</t>
  </si>
  <si>
    <t xml:space="preserve">Facing application issue, which is blocking the execution of all the flows. </t>
  </si>
  <si>
    <t xml:space="preserve">Name </t>
  </si>
  <si>
    <t>Date</t>
  </si>
  <si>
    <t>Module Name</t>
  </si>
  <si>
    <t>Test Case name</t>
  </si>
  <si>
    <t>No of TCs</t>
  </si>
  <si>
    <t xml:space="preserve"> Total FPs </t>
  </si>
  <si>
    <t>Ramya</t>
  </si>
  <si>
    <t>Script execution in new framework</t>
  </si>
  <si>
    <t>IHA_Employee_001
IHA_Employee_002
IHA_Employee_003
IHA_Employee_004
IHA_Employee_005
IHA_Employee_006</t>
  </si>
  <si>
    <t>Fixed all 6 TCs which was failing by updating xpaths, Test Data etc...</t>
  </si>
  <si>
    <t>Anilkumar</t>
  </si>
  <si>
    <t>FBMC_Employee_001
FBMC_Employee_002
FBMC_Employee_003
FBMC_Employee_004
FBMC_Employee_005
FBMC_Employee_006
FBMC_Employee_007</t>
  </si>
  <si>
    <t>Fixed all 7 TCs which was failing by updating the xpaths, optimizing the script</t>
  </si>
  <si>
    <t>Anandh</t>
  </si>
  <si>
    <t>FBMC_Employee_009
FBMC_Employee_018</t>
  </si>
  <si>
    <t>Fixed 2 TCs which was failing by updating xpaths, Test Data etc...</t>
  </si>
  <si>
    <t>Script execution and updating scripts in new framework</t>
  </si>
  <si>
    <t>IHA_Employee_007
IHA_Employee_008
IHA_Employee_009</t>
  </si>
  <si>
    <t>Fixed 3 TCs which was failing by updating xpaths, logic, Test Data, flow, logs,  etc...</t>
  </si>
  <si>
    <t>FBMC_Employee_008
FBMC_Employee_011
FBMC_Employee_012
FBMC_Employee_013</t>
  </si>
  <si>
    <t>Fixed 4 TCs by updating xpath and minor script modifications</t>
  </si>
  <si>
    <t>Asif</t>
  </si>
  <si>
    <t>Fixed 2 TCs which was failing by updating xpaths, modifications</t>
  </si>
  <si>
    <t>FBMC, IHA, Speridian</t>
  </si>
  <si>
    <t>Script Execution in Old Framework</t>
  </si>
  <si>
    <t xml:space="preserve">IHA_Employee_010
IHA_Employee_012
</t>
  </si>
  <si>
    <t>Fixed 2 TCs which was failing by updating xpaths, logic, Test Data, flow, logs,  etc...</t>
  </si>
  <si>
    <t>FBMC_Employee_014
FBMC_Employee_015
FBMC_Employee_017</t>
  </si>
  <si>
    <t>Fixed 3 TCs by updating xpath, Test data, minor script modifications</t>
  </si>
  <si>
    <t>Script Creation in new framework Employee Login</t>
  </si>
  <si>
    <t>FBMC_Employee_035(5%)</t>
  </si>
  <si>
    <t>Creating new script for Employee Login using a single customer</t>
  </si>
  <si>
    <t>Speridian_Employee_006
Speridian_Employee_007(0.8)</t>
  </si>
  <si>
    <t xml:space="preserve">IHA_Employee_011
IHA_Employee_013
IHA_Employee_014
</t>
  </si>
  <si>
    <t>Fixed 1 TC which was failing by updating xpaths, logic, Test Data, flow, logs,  etc...
11 and 14 flows has some doubts need to check</t>
  </si>
  <si>
    <t>Speridian_Employee_007(0.2)</t>
  </si>
  <si>
    <t>Fixed 0.2 TCs which was failing by Xpaths</t>
  </si>
  <si>
    <t>Speridian_Employee_008</t>
  </si>
  <si>
    <t>Fixed 1 TCs which was failing by updating xpaths, Test data etc...</t>
  </si>
  <si>
    <t>Speridian_Employee_009</t>
  </si>
  <si>
    <t>Fixed 1 TCs which was failing by updating xpaths, Test data.</t>
  </si>
  <si>
    <t>FBMC_Employee_020
FBMC_Employee_026</t>
  </si>
  <si>
    <t>Fixed 2 TCs by updating xpath, Test data, minor script modifications (Facing page load wait issues in the application for FBMC Tenant)</t>
  </si>
  <si>
    <t>FBMC_Employee_035(15%)</t>
  </si>
  <si>
    <t>Creating new script for Employee Login using a single customer  (Facing page load wait issues in the application for FBMC Tenant)</t>
  </si>
  <si>
    <t xml:space="preserve">IHA_Employee_015
IHA_Employee_016
IHA_Employee_017
</t>
  </si>
  <si>
    <t>Speridian_Employee_010</t>
  </si>
  <si>
    <t>Fixed 2 TCs which was failing by updating xpaths, Test data.</t>
  </si>
  <si>
    <t>Speridian_Employee_011</t>
  </si>
  <si>
    <t>FBMC_Employee_010
FBMC_Employee_016
FBMC_Employee_019</t>
  </si>
  <si>
    <t xml:space="preserve">Fixed 3 TCs by updating xpath, Test data.
Modified all the scripts  and Fixed the Employee Page class for these flows. </t>
  </si>
  <si>
    <t>FBMC_Employee_035(25%)</t>
  </si>
  <si>
    <t xml:space="preserve">Creating new script for Employee Login
using a single customer </t>
  </si>
  <si>
    <t xml:space="preserve">IHA_Employee_018
</t>
  </si>
  <si>
    <t>Fixed 1 TC which was failing due to xpaths, Test Data, flow and logic etc...</t>
  </si>
  <si>
    <t>Chrome issue</t>
  </si>
  <si>
    <t>debugging Anand and Anil chrome issue</t>
  </si>
  <si>
    <t>Worked with Anand and Anil on Chrome issue</t>
  </si>
  <si>
    <t>Speridian_Employee_012</t>
  </si>
  <si>
    <t>Blocked due to chrome version issue</t>
  </si>
  <si>
    <t>FBMC_Employee_035(50%)</t>
  </si>
  <si>
    <t>FBMC_Employee_023
FBMC_Employee_024</t>
  </si>
  <si>
    <t>Fixed 1 TC which was failing due to xpaths, Test Data, flow and logic etc... and 1 is In-Progress</t>
  </si>
  <si>
    <t>Speridian_Employee_012(0.2)</t>
  </si>
  <si>
    <t>Fixed 2.2 TCs which was failing by updating xpaths, Test data.</t>
  </si>
  <si>
    <t>Speridian_Employee_013</t>
  </si>
  <si>
    <t>Speridian_Employee_014</t>
  </si>
  <si>
    <t>FBMC_Employee_035(60%)</t>
  </si>
  <si>
    <t>FBMC-Admin</t>
  </si>
  <si>
    <t>FBMC_Employee_024(In-Progress)
FBMC_Employee_025(Completed)
FBMC_Employee_026(In-Progress)
FBMC_Employee_028(Completed)</t>
  </si>
  <si>
    <t>Fixed 2 TCs which was failing due to xpaths, Test Data, flow and logic etc... and 2 are In-Progress</t>
  </si>
  <si>
    <t>FBMC_Employee_035(90%)</t>
  </si>
  <si>
    <t>Speridian_Employee_015</t>
  </si>
  <si>
    <t>Speridian_Employee_016</t>
  </si>
  <si>
    <t>Speridian_Employee_017 (0.9)</t>
  </si>
  <si>
    <t>Speridian_Employee_018 (0.9)</t>
  </si>
  <si>
    <t>FBMC, IHA</t>
  </si>
  <si>
    <t>IHA_Employee_022(10%)</t>
  </si>
  <si>
    <t xml:space="preserve">Creating new script for Employee Login
using a single customer and Executing FBMC Employee </t>
  </si>
  <si>
    <t>FBMC_Employee_023(Completed)
FBMC_Employee_026(Completed)
FBMC_Employee_027(Completed)</t>
  </si>
  <si>
    <t xml:space="preserve">Fixed 3 TCs which was failing due to xpaths, Test Data, flow and logic etc... </t>
  </si>
  <si>
    <t>FBMC_Employee_029(Completed)
FBMC_Employee_030(Completed)
FBMC_Employee_031(In-Progress)</t>
  </si>
  <si>
    <t>Fixed 2 TCs which was failing due to xpaths, Test Data, flow and logic etc... and 1 is In-Progress</t>
  </si>
  <si>
    <t>IHA_Employee_022(60%)</t>
  </si>
  <si>
    <t>Creating new script for Employee Login
using a single customer</t>
  </si>
  <si>
    <t>Speridian_Employee_019</t>
  </si>
  <si>
    <t>Speridian_Employee_020</t>
  </si>
  <si>
    <t>Anil</t>
  </si>
  <si>
    <t>FBMC_Employee_034 (20%)</t>
  </si>
  <si>
    <t>Fixed 1 TC and executed TC no 32 and 33</t>
  </si>
  <si>
    <t>FBMC_Employee_031(completed)</t>
  </si>
  <si>
    <t xml:space="preserve">Fixed .8 TC which was failing due to xpaths, Test Data, flow and logic etc... </t>
  </si>
  <si>
    <t>RC and CL</t>
  </si>
  <si>
    <t>Going through the Recordings</t>
  </si>
  <si>
    <t>To start writing Manual TCs</t>
  </si>
  <si>
    <t>FBMC-Employee</t>
  </si>
  <si>
    <t>Code review</t>
  </si>
  <si>
    <t>Need to check with Anand on some points</t>
  </si>
  <si>
    <t>Speridian_Employee_023</t>
  </si>
  <si>
    <t>Fixed 1.6 TCs which was failing by updating xpaths, Test data.</t>
  </si>
  <si>
    <t>Speridian_Employee_024(0.6)</t>
  </si>
  <si>
    <t>Speridian_Emp_001(30%)</t>
  </si>
  <si>
    <t>FBMC_Employee_034 (45%)</t>
  </si>
  <si>
    <t>The Combined flows scripting is in progress and  Optimized all the FBMC codes to reduce the execution time.
Parallely working on the logic to implement  BA login in the scripts</t>
  </si>
  <si>
    <t>BA Login</t>
  </si>
  <si>
    <t>Worked on BA login changes</t>
  </si>
  <si>
    <t>Modified as per Saran that Admin scripts works for BA login after changes.</t>
  </si>
  <si>
    <t>Provided some review comments to Anandh and i need to look once he fixes comments.</t>
  </si>
  <si>
    <t>Speridian_Employee_021</t>
  </si>
  <si>
    <t>Speridian_Employee_022</t>
  </si>
  <si>
    <t>Speridian_Emp_001(60%)</t>
  </si>
  <si>
    <t>Creating new script for Employee Login
using a single customer and Modifing old Scripts for FBMC Employee</t>
  </si>
  <si>
    <t>FBMC_Employee_034 (65%)</t>
  </si>
  <si>
    <t>The Combined flows scripting is in progress, modifying the flow for a single customer</t>
  </si>
  <si>
    <t>FBMC-Renewel Center</t>
  </si>
  <si>
    <t>TESTCASE CREATION</t>
  </si>
  <si>
    <t>Completed 6 TCs and other TCs has some queries</t>
  </si>
  <si>
    <t>Speridian_Employee_025</t>
  </si>
  <si>
    <t>Fixed 1.2  TCs which was failing by updating xpaths, Test data.</t>
  </si>
  <si>
    <t>Speridian_Employee_026</t>
  </si>
  <si>
    <t>Speridian_Emp_001(90%)</t>
  </si>
  <si>
    <t>FBMC-Admin
FBMC - BA</t>
  </si>
  <si>
    <t>Admin
BA</t>
  </si>
  <si>
    <t>FBMC_Employee_034 (85%)</t>
  </si>
  <si>
    <t>The Combined flows scripting is in progress, modifying the flow for a single customer.
Modified couple of xpath's for BA user login and executed the flows.</t>
  </si>
  <si>
    <t>FBMC-Emp-Renewel Center</t>
  </si>
  <si>
    <t>Employee and BA</t>
  </si>
  <si>
    <t>Manual TC creation</t>
  </si>
  <si>
    <t>1 query need to check</t>
  </si>
  <si>
    <t>FBMC-Admin-CL</t>
  </si>
  <si>
    <t>Speridian_Employee_024</t>
  </si>
  <si>
    <t>Speridian_Employee_027</t>
  </si>
  <si>
    <t>FBMC_Renewal</t>
  </si>
  <si>
    <t>Script Creation in new framework Admin Login</t>
  </si>
  <si>
    <t>FBMC_RC_Admin_TC001</t>
  </si>
  <si>
    <t xml:space="preserve">Creating new script for FBMC Renewal Admin and Executing FBMC BA Login flows. </t>
  </si>
  <si>
    <t>FBMC_Employee_034 (97%)</t>
  </si>
  <si>
    <t>Modified the test scripts by updating xpath's and some changes in the pages, Execution Pending</t>
  </si>
  <si>
    <t>completed RC Module</t>
  </si>
  <si>
    <t>completed 9 TCs and other TCs has some queries</t>
  </si>
  <si>
    <t>FBMC_Employee_034 (100%)</t>
  </si>
  <si>
    <t>Completed the End to end flow and Executed all the scripts to get the execution time</t>
  </si>
  <si>
    <t>Speridian_Employee_018(Redesign)</t>
  </si>
  <si>
    <t>Speridian_Employee_028</t>
  </si>
  <si>
    <t>FBMC_BA</t>
  </si>
  <si>
    <t>Modified the test scripts by updating xpath's and some changes in the page and Executing FBMC BA Login flows to get the execution time</t>
  </si>
  <si>
    <t>Speridian_Employee_003</t>
  </si>
  <si>
    <t>Modified the test scripts by updating the Xpath,and some logic</t>
  </si>
  <si>
    <t>Script Creation in new framework Renwal Center</t>
  </si>
  <si>
    <t>FBMC_RC_Admin_TC001(30%)</t>
  </si>
  <si>
    <t>Worked on Dropdown and SSN issue</t>
  </si>
  <si>
    <t>fixed dropdown issue and tested for 1 TC</t>
  </si>
  <si>
    <t>fixed dropdown and SSN issue and tested for 1 TC</t>
  </si>
  <si>
    <t>completed 3 TCs and other TCs has some queries</t>
  </si>
  <si>
    <t xml:space="preserve">BA </t>
  </si>
  <si>
    <t>FBMC_RC_Admin_TC001(50%)</t>
  </si>
  <si>
    <t>Creating new script for FBMC Admin Renewal Center and Executed FBMC, Speridian Employee flows</t>
  </si>
  <si>
    <t>Executed scripts with the new optimised version of the code, found a few failures in the scripts, fixed the same. Now the execution time has been reduced significantly.</t>
  </si>
  <si>
    <t>looking some GIT lab related things</t>
  </si>
  <si>
    <t>completed 5 TCs and other TCs has some queries</t>
  </si>
  <si>
    <t>FBMC_CL</t>
  </si>
  <si>
    <t>Script Creation in new framework CC Letters</t>
  </si>
  <si>
    <t>Added the CC Letters scripting to the existing scripts accordingly.
Modified the name of the package and have started updation of the comments for each step in the test scripts</t>
  </si>
  <si>
    <t>FBMC_RC_Admin_TC001(65%)</t>
  </si>
  <si>
    <t xml:space="preserve">Worked on Config </t>
  </si>
  <si>
    <t>Update some logic</t>
  </si>
  <si>
    <t>Working on Code Conflicts</t>
  </si>
  <si>
    <t>fixing the conflicts.</t>
  </si>
  <si>
    <t>listed out the pages and listing the improvment things</t>
  </si>
  <si>
    <t>Added the CC Letters scripting to 3 existing scripts accordingly.
Worked on fixing the merge conflicts</t>
  </si>
  <si>
    <t>FBMC_RC_Admin_TC001(85%)</t>
  </si>
  <si>
    <t>Creating new script for FBMC Admin Renewal Center</t>
  </si>
  <si>
    <t>1.Update some logic
2.Add Try Catch 
3.Add log/exteants message</t>
  </si>
  <si>
    <t>Code conflicts and committed code</t>
  </si>
  <si>
    <t>working on code optmisation and completed packg rename and committed code</t>
  </si>
  <si>
    <t>Pages</t>
  </si>
  <si>
    <t>Page class Creation in new framework based on Application Screens</t>
  </si>
  <si>
    <t>Created the new page class files for Correspondence letters and QE_Enrollment.
Worked on fixing the merge conflicts</t>
  </si>
  <si>
    <t>Complete config part,working on Enrollment page</t>
  </si>
  <si>
    <t>Test Script and Pages Modification</t>
  </si>
  <si>
    <t>FBMC_Terminate Employee</t>
  </si>
  <si>
    <t>Modified the Terminate Employee and Executing BA user failed Testcases</t>
  </si>
  <si>
    <t>Script optimization, restructure</t>
  </si>
  <si>
    <t>FBMC_GroupDashboardFlow
FBMC_ValidateTenantDashboard
FBMC_AddEmployeeFlow(50%)</t>
  </si>
  <si>
    <t>And also worked on optimisation</t>
  </si>
  <si>
    <t>Working on Enrollment Page(50%)</t>
  </si>
  <si>
    <t xml:space="preserve">
FBMC_AddEmployeeFlow(50%)
FBMC_ActivateEmployeeFlow</t>
  </si>
  <si>
    <t>And also worked on optimisation and to add Employee its taking lessthan  2 mins</t>
  </si>
  <si>
    <t>1. Modified the Enrollment Page
2. Run the failed scripts for Admin role
3.Working on merging the code with master</t>
  </si>
  <si>
    <t>FBMC_EmployeeReHireEnroll
FBMC_EmployeeReinstate</t>
  </si>
  <si>
    <t>Modified the EmployeeReHireEnroll 
and EmployeeReinstate pages.
Removing duplication of methods</t>
  </si>
  <si>
    <t>Pages_Change Plan
Pages_Change Coverage Amount</t>
  </si>
  <si>
    <t>Created the new page class files for Correspondence letters and Change Plan, Change Coverage Amount.
Fixed the merge conflicts</t>
  </si>
  <si>
    <t>FBMC_ActivateEmployeeFlow
FBMC_ActivateAndEnrollEmployeeFlow</t>
  </si>
  <si>
    <t>Pages_ChangeCoverageAmount_PlanRate
Pages_ViewBenefits</t>
  </si>
  <si>
    <t xml:space="preserve">Created the new page class files for   Edit Rate Plans and for View Benefits it is in progress. 
Executed the Respective scripts to check if the flows are working fine or not with the new page class files. </t>
  </si>
  <si>
    <t>FBMC_CascadeScenario</t>
  </si>
  <si>
    <t>Modified the CascadeScenario pages and Adding all the sheets in Test data . Removing duplication of methods
Executed Terminate Employee flow</t>
  </si>
  <si>
    <t>Code merging and resloving the conflicts</t>
  </si>
  <si>
    <t>1.Resolved conflicts
2.After merging the code all scripts got failed
3.Fixing the issues &amp; run one by one.  22 scripts i fixed.</t>
  </si>
  <si>
    <t>FBMC_DeclineAllCoveragesFlow</t>
  </si>
  <si>
    <t>the script was failing so fixed the selected plan method</t>
  </si>
  <si>
    <t>Code merging and resloving the conflicts,
Pages Modification</t>
  </si>
  <si>
    <r>
      <rPr>
        <sz val="11"/>
        <color rgb="FF000000"/>
        <rFont val="Calibri"/>
        <scheme val="minor"/>
      </rPr>
      <t xml:space="preserve">1.Fixed the issue and pushed the code to the local and raise the merge request
2. page modification complete for </t>
    </r>
    <r>
      <rPr>
        <b/>
        <sz val="11"/>
        <color rgb="FF000000"/>
        <rFont val="Calibri"/>
        <scheme val="minor"/>
      </rPr>
      <t xml:space="preserve">Enrollment summary page 
</t>
    </r>
    <r>
      <rPr>
        <sz val="11"/>
        <color rgb="FF000000"/>
        <rFont val="Calibri"/>
        <scheme val="minor"/>
      </rPr>
      <t xml:space="preserve">3. Working on page modification for </t>
    </r>
    <r>
      <rPr>
        <b/>
        <sz val="11"/>
        <color rgb="FF000000"/>
        <rFont val="Calibri"/>
        <scheme val="minor"/>
      </rPr>
      <t>View Coverage</t>
    </r>
  </si>
  <si>
    <t>Test Script Modification and Pages Class Creation</t>
  </si>
  <si>
    <t>Modified the CascadeScenario pages and Edit Employee Page Creation . Removing duplication of methods
Executed ReHire Enroll flow</t>
  </si>
  <si>
    <t>pull the code and resolved conflicts</t>
  </si>
  <si>
    <t>Page class Creation and execution in new framework based on Application Screens</t>
  </si>
  <si>
    <t xml:space="preserve">Created the new page class files for   Edit Rate Plans and for View Benefits it is in progress. 
Executed the Respective scripts to check if the flows are working fine with the new page class files. </t>
  </si>
  <si>
    <t>Medical Dropdown ,Terminate Medical Button,Dental Dropdown, Terminate Dental Button,Select qualifying event dropdown,FSA Dropdown,Change Contribution Amount</t>
  </si>
  <si>
    <t>Add the methods inside the view coverage page 
executed the respected scripts to check if the flow is working fine with the new methods</t>
  </si>
  <si>
    <t>FBMC_CascadeScenario
FBMC_UpdateCovered Member</t>
  </si>
  <si>
    <t>Modified the CascadeScenario pages and Edit Employee Page Creation . Removing duplication of methods
Executed CascadeScenario</t>
  </si>
  <si>
    <t xml:space="preserve">Scriptexecution in new framework based on new pages </t>
  </si>
  <si>
    <t>EnrollAndMaintainenceWithRateEdit Plam
ChangePlanMedical
ChangePlanAncillary</t>
  </si>
  <si>
    <t xml:space="preserve">Fixing the merge conflicts
Executed the Respective scripts to check if the flows are working fine with the new page class files. </t>
  </si>
  <si>
    <t>Executed FBMC TCs after resolving conflicts and committed code to master branch.</t>
  </si>
  <si>
    <t>FBMC_ValidateTerminateMedicalFlow
FBMC_ValidateTerminateAncillaryFlow
FBMC_ValidateSummaryVerificationFlow</t>
  </si>
  <si>
    <t>Fixed the merge conflicts
executed the respected scripts to check if the flow is working fine with the new Class File</t>
  </si>
  <si>
    <t>FBMC_ValidateTerminateMedicareFlow</t>
  </si>
  <si>
    <t>In-progress</t>
  </si>
  <si>
    <t>FBMC_UpdateCovered Member Medical
FBMC_UpdateCovered Member Ancillary</t>
  </si>
  <si>
    <t>Modified the Update Covered Member Pages and Executed Update Covered Member Medical and Ancillary. Removing duplication of methods</t>
  </si>
  <si>
    <t>ChangePlanMedicare
QE On Medical
QE on Ancillary
QE on Medicare</t>
  </si>
  <si>
    <t>Helped Anil to resolve conflicts and push code to his Branch.
Merged Anil code to Master branch.
Created tasks to individuals in the team .
Pulled code form Master and resolved conflicts.
Done changes to first 8TCs of Speridian
 committed code to master branch.</t>
  </si>
  <si>
    <t>FBMC_ValidateTerminateMedicareFlow
View Coverage Page</t>
  </si>
  <si>
    <t>1.Resolved the merge conflicts.
2.View coverage Page Complete. 
3.FBMC_Employee_010( FBMC_ValidateTerminateMedicareFlow) Complete.
4.Payment Page ( In-Progress)</t>
  </si>
  <si>
    <t xml:space="preserve">Script execution in new framework based on new pages </t>
  </si>
  <si>
    <t xml:space="preserve">Executed the respected scripts. Found failures. Fixed a few and working on rest of the flows. </t>
  </si>
  <si>
    <t>Pull the code and resolved conflicts</t>
  </si>
  <si>
    <t>FBMC and Speridan flows</t>
  </si>
  <si>
    <t>Pull the code form master and resolve 
the code conflicts. Removing duplication of methods.</t>
  </si>
  <si>
    <t xml:space="preserve">Merged Asif code to Master branch.
Taken latest and noticed that some scripts are missing </t>
  </si>
  <si>
    <t>Executed below scripts for Admin and BA users
"Speridian_GroupDashboardFlow 
Speridian_ActivateEmployeeFlow
Speridian_SubmitEmployeeFlow
Speridian_ActivateAndEnrollFlow
Speridian_DeclineAllCoveragesFlow
FBMC_GroupDashboardFlow
FBMC_ActivateEmployeeFlow
FBMC_SubmitEmployeeFlow
FBMC_ActivateAndEnrollFlow
FBMC_DeclineAllCoveragesFlow
FBMC_ValidateTerminateMedicalFlow"</t>
  </si>
  <si>
    <t>Informed Asif some missings in the commit like missing scripts and Testdata.</t>
  </si>
  <si>
    <t xml:space="preserve">ChangePlanMedical
ChangePlanAncillary
QE On Medical
QE on Ancillary
</t>
  </si>
  <si>
    <t>Pulled the latest code from Master.
Got multiple conflicts. Fixed the same.
Executed the scripts in Speridian found failuers. Fixed a few and a couple more remaining</t>
  </si>
  <si>
    <t xml:space="preserve">1. Payment page (in-progress) (80%)
</t>
  </si>
  <si>
    <t>working on Module plan
was checking Testdata sheet as it has duplicates 
Started with FBMC_Employee_015</t>
  </si>
  <si>
    <t>FBMC_Employee_015</t>
  </si>
  <si>
    <t>FBMC
Speridian</t>
  </si>
  <si>
    <t xml:space="preserve">Speridian_ReEnrollMedicalFlow
FBMC_RetroEnrollmentFlow 
</t>
  </si>
  <si>
    <t>1. Payment page (in-progress) (80%)
2. test data Sheet remove duplicate column and fixing the test cases
3. Speridian_ReEnrollMedicalFlow
4. FBMC_RetroEnrollmentFlow</t>
  </si>
  <si>
    <t xml:space="preserve">ViewCoveragePage
FBMC_QEOnMedical
FBMC_QEOnMedicare
FBMC_QEOnAncillary
Speridian_QEOnMedical
Speridian_QEOnAncillary
</t>
  </si>
  <si>
    <t>Modified the ViewCoveragePage to add the Medicare and Medical Bridge methods and modified a few xpaths
Executed the respective scripts.</t>
  </si>
  <si>
    <t>Update Covered Member Medical
Update Covered Member Ancillary
Terminate Employee
EmployeeReHireEnroll</t>
  </si>
  <si>
    <t>Resolved Conflicts in the IHA Test Scripts
pull latest code and Commit the code
Modified Test Data. Executed FBMC flows</t>
  </si>
  <si>
    <t>working on Modules plan
verified and provided  corrections in the TestData.
Merged Asif code to Master branch.
Taken latest code 
FBMC_Employee_015 
started FBMC_Employee_016</t>
  </si>
  <si>
    <t>Speridian_RetroEnrollment
Speridian_RetroTermination
Speridian_ReEnrollAncillary</t>
  </si>
  <si>
    <t>1. Payment page (Completed)
2. Speridian_ReEnrollAncillary (Completed)
3. Speridian_RetroTermination(Completed)
4. Speridian_RetroEnrollment(Completed)</t>
  </si>
  <si>
    <t>QEEnrollment_ChangePlan_Page
ChangeCoverageAmount_PlanRate_Page</t>
  </si>
  <si>
    <t>1) Modified the Pages to add the try-Catch blocks and Extent Success reports.
2) Added assertions for the test scripts.
3) Executed the respective scripts.</t>
  </si>
  <si>
    <t>Update Covered Member Medical
Update Covered Member Ancillary
Terminate Employee
EmployeeReHireEnroll
EmployeeReinstate</t>
  </si>
  <si>
    <t>1.Executed the FBMC Admin and BA.
2.Modified the Pages Based on flows
3.Edited Test Data Sheet and Modified Test cases Retro Termination flow</t>
  </si>
  <si>
    <t>working on Modules plan
had a overview on remaining modules with Saran
working on FBMC_Employee_016
merged Anil code to Master</t>
  </si>
  <si>
    <t>FBMC_Employee_016</t>
  </si>
  <si>
    <t xml:space="preserve">Observed that while resolving conflicts we are loosing others code </t>
  </si>
  <si>
    <t>Resolve Merge Conflicts
FBMC_RetroTerminationtRetroPeriodFlow</t>
  </si>
  <si>
    <t>1. Pull the code from master and resolve 
the code conflicts. 
2. FBMC_RetroTerminationtRetroPeriodFlow</t>
  </si>
  <si>
    <t>FBMC_ReEnrollMedicare</t>
  </si>
  <si>
    <t xml:space="preserve">1) Merge the Code into Master.
2) FBMC_ReEnrollMedicare
</t>
  </si>
  <si>
    <t>Modification of Test Script and Pages</t>
  </si>
  <si>
    <t>FBMC_Cascade Scenario
Resolved Merge Conflicts</t>
  </si>
  <si>
    <t>1.Pull the code from Master and resolve the
coe conflicts
2.Executed FBMC_CascadeScenarioFlow
3. Gothrough the KT recordings</t>
  </si>
  <si>
    <t>working on Modules plan
worked with Anandh on code commit and merged code once he commit to his branch
checking all the code and test data sheet</t>
  </si>
  <si>
    <t>Observed that code is not in sync with Test data.
Speridian admin and FBMC admin TCs</t>
  </si>
  <si>
    <t>Admin, BA</t>
  </si>
  <si>
    <t xml:space="preserve">Executed the FBMC and Speridian for Admin and BA logins. Speridian BA login scripts execution is in progress. </t>
  </si>
  <si>
    <t>1. Pull the code from master.
2. I have run all the scripts assigned to me, and everything is passed.</t>
  </si>
  <si>
    <t>Executed the FBMC and Speridian for Admin 
and BA logins. Some Testcase got failed.
working on the failed Testcases.
Gothrough the KT recordings</t>
  </si>
  <si>
    <t>worked and sent Modules plan to team
corrected POM.xml, config.properties and classpath files and merged to Master
Executed some scripts worked by me</t>
  </si>
  <si>
    <t>Executed below scripts for Admin and BA users
"Speridian_GroupDashboardFlow 
Speridian_ActivateEmployeeFlow
Speridian_TenantDashboardFlow
FBMC_TenantDashboardFlow 
FBMC_GroupDashboardFlow
FBMC_ActivateEmployeeFlow
FBMC_SubmitEmployeeFlow
FBMC_ActivateAndEnrollFlow
FBMC_DeclineAllCoveragesFlow"</t>
  </si>
  <si>
    <t>Speridian_TenantDashboardFlow failed for BA user.</t>
  </si>
  <si>
    <t>FBMC
Speridian
Employee</t>
  </si>
  <si>
    <t>Executed scripts for Admin and BA users</t>
  </si>
  <si>
    <t>1. Pull the code from master.
2. I have run all the scripts 
3. Modified Employee flows based on new pages</t>
  </si>
  <si>
    <t>Fixed and executed Tenant Dasboard TC for BA
and executed all Asif TCs with Speridian</t>
  </si>
  <si>
    <t xml:space="preserve">Modified the pages and Script execution in new framework. </t>
  </si>
  <si>
    <t>Modified the Pages and Test Script</t>
  </si>
  <si>
    <t>FBMC_Emp_001</t>
  </si>
  <si>
    <t>1. Modified Employee Script based on new pages
2. Commit and Pull the code from master
3. Executed FBMC Employee flows Cascade Scenario</t>
  </si>
  <si>
    <t xml:space="preserve">Executed the FBMC and Speridian for Admin and BA logins. FBMC BA login scripts execution is in progress. </t>
  </si>
  <si>
    <t>Executed all FBMC Scripts and some scripts are getting failed</t>
  </si>
  <si>
    <t>All</t>
  </si>
  <si>
    <t>Some scripts are failing w.r.to add profile, fixed that.And need to check other failures</t>
  </si>
  <si>
    <t>Speridian_Emp_001</t>
  </si>
  <si>
    <t>1. Modified Employee Script and Testdata based on new pages
2. Commit and Pull the code from master
3. Created New Employee for Speridian Flows</t>
  </si>
  <si>
    <t>Executed all FBMC Scripts and some scripts are getting failed, fixed 8TCs so far</t>
  </si>
  <si>
    <t xml:space="preserve">Script execution in new framework. </t>
  </si>
  <si>
    <t>FBMC_Employee_001</t>
  </si>
  <si>
    <t xml:space="preserve">Executed the FBMC Employee flow, faced a couple of issues. Fixing is in progress. </t>
  </si>
  <si>
    <t xml:space="preserve">Executed the Speridian for Admin and BA logins. FBMC BA login scripts execution is in progress. </t>
  </si>
  <si>
    <t>1. Modified Employee Script and Testdata based on new pages
2. Created New Employee for Speridian Flows. Executed Speridian Employee flow without Review Employee Transations.
3.Created Tickect in the Redmine</t>
  </si>
  <si>
    <t>Executed all FBMC Scripts and fixed admin TCS
ran all FBMC BA TCS and fixed failed ones</t>
  </si>
  <si>
    <t>some are failed due to xpath and etc</t>
  </si>
  <si>
    <t>FBMC_TerminateMedical
FBMC_TerminateAncillary</t>
  </si>
  <si>
    <t>Scripting of the CC Letter and execution of the same</t>
  </si>
  <si>
    <t>Anand</t>
  </si>
  <si>
    <t>FBMC_RC_AdminFlow</t>
  </si>
  <si>
    <t>Modified Renewal Center Flow Test Script and Pages
code changes committed and pull latest from Master</t>
  </si>
  <si>
    <t>FBMC_TerminateMedicare
FBMC_ChangePlanMedical</t>
  </si>
  <si>
    <t>Scripting of the CC Letter and execution of the same.</t>
  </si>
  <si>
    <t>Started RC script</t>
  </si>
  <si>
    <t>Speridian_RC_AdminFlow</t>
  </si>
  <si>
    <t>updated manual TC and started with automation script</t>
  </si>
  <si>
    <t>In-Progress(60%)</t>
  </si>
  <si>
    <r>
      <rPr>
        <sz val="11"/>
        <color rgb="FF000000"/>
        <rFont val="Calibri"/>
        <scheme val="minor"/>
      </rPr>
      <t xml:space="preserve">Observed that still using robo classes for SSN  in some places, changes that 
for page load with animator use this method </t>
    </r>
    <r>
      <rPr>
        <b/>
        <sz val="11"/>
        <color rgb="FF000000"/>
        <rFont val="Calibri"/>
        <scheme val="minor"/>
      </rPr>
      <t xml:space="preserve">WaitForLoadAnimationDisappear(); </t>
    </r>
    <r>
      <rPr>
        <sz val="11"/>
        <color rgb="FF000000"/>
        <rFont val="Calibri"/>
        <scheme val="minor"/>
      </rPr>
      <t xml:space="preserve">instead of thread.sleep()
Need to Modify some xpaths </t>
    </r>
  </si>
  <si>
    <t>Modified Test Script and Pages</t>
  </si>
  <si>
    <t>Renamed Renewal Center Flow Test Script, Pages and Testdata. Modified based on Test cases and Committed the code get latest from master</t>
  </si>
  <si>
    <t>FBMC_TerminateEmployee
FBMC_QE_On_Ancillary</t>
  </si>
  <si>
    <t>Scripting of the CC Letter and execution of the same.
Modified the Validation methods to make it more dynamic based on the different Letter Types. 
Modified the Testdata file and removed the unnecessary columns from the sheet</t>
  </si>
  <si>
    <t>Modified Pages and Test Script</t>
  </si>
  <si>
    <t>Executed Renewal Center Test Script.
Removed unwanted colums in Test Data and
Modified Pages
Disscussed Speridian Issue with Developer</t>
  </si>
  <si>
    <t>In-Progress(80%)</t>
  </si>
  <si>
    <t>Observed that need to Modify some xpaths, so added one common method which works for both the tenants.
And was cleaningup unused pages
checked ACH and FRS TCs and updated steps for these 2 TCs.</t>
  </si>
  <si>
    <t>FBMC_ChangeCoverageAmount
FBMC_EnrollAndMaintainenceWithRateEditPlan</t>
  </si>
  <si>
    <t>Scripting of the CC Letter and execution of the same.
Modified the Validation methods to make it more dynamic based on the different Letter Types. 
Started Scripting for ACH and FRS Authorization forms</t>
  </si>
  <si>
    <t>Executed Test Script and 
Modified Pages</t>
  </si>
  <si>
    <t>Modified Renewal Center Flow Test Script and Pages
code changes committed and pull latest from Master and Executed FBMC Employee flows</t>
  </si>
  <si>
    <t>In-Progress(90%)</t>
  </si>
  <si>
    <t>Provided demo on completed Automation scripts.
Still used robot class in some places, so changed those and checked config chnages based on demo</t>
  </si>
  <si>
    <t>FBMC_CL_ACHFormFlow
FBMC_CL_FRSFormFlow
FBMC_EmployeeReHireAndReEnroll
FBMC_EmployeeReInstate</t>
  </si>
  <si>
    <t>Scripting of the CC Letter and execution of the same.
Modified the Validation methods to make it more dynamic based on the different Letter Types. 
Completed Scripting for ACH and FRS Authorization forms</t>
  </si>
  <si>
    <t>Test Script and Pages Creation</t>
  </si>
  <si>
    <t>FBMC_RC_EmpFlow</t>
  </si>
  <si>
    <t>Created Test Script for FBMC Renewal Center Employee and Added new sheet in Test Data  FBMC_RC_Employee</t>
  </si>
  <si>
    <t>FBMC_UserAdministration</t>
  </si>
  <si>
    <t>Test Case Preparation</t>
  </si>
  <si>
    <t>FBMC User Admin TCs</t>
  </si>
  <si>
    <t xml:space="preserve">FBMC_BAAdmin_RegistrationFlow
FBMC_ClientAdmin_RegistrationFlow
FBMC_EnrollmentSupport_RegistrationFlow
</t>
  </si>
  <si>
    <t>Goin through the recordings and created 3 TCs</t>
  </si>
  <si>
    <t>Design New scripts</t>
  </si>
  <si>
    <t>FBMC_BAAdmin_RegistrationFlow</t>
  </si>
  <si>
    <t>IHA_TenantDashboardFlow
IHA_ActivateEmployeeFlow
IHA_SubmitEmployeeFlow
IHA_ActivateAndEnrollFlow</t>
  </si>
  <si>
    <t>Modified the Test Scripts names for all the flows in IHA.
Modified a few flows and updated the methods for addIHAPersonalInformation method</t>
  </si>
  <si>
    <t>FBMC, Speridian</t>
  </si>
  <si>
    <t>Modified Speridian Employee Test Script and Pages
Executed FBMC Renewal Center Employee flow</t>
  </si>
  <si>
    <t>FBMC_UserAdministration
Speridian_UserAdministration</t>
  </si>
  <si>
    <t>FBMC and Speridian User Admin TCs</t>
  </si>
  <si>
    <t>FBMC_EnrollmentSupport_Add_Edit_Flow
FBMC_EnrollmentSupport_Delete_Flow
FBMC_userprofile_FinnanceAdmin_Flow
FBMC_userprofile_Add_Edit_CorrespondenceAdmin_Flow
FBMC_userprofile_FinnanceAdmin_Flow
FBMC_userprofile_FinnanceAndCorrespondenceAdmin_Flow
FBMC_Userprofile_Add_Delete_TenantAdmin_Flow
Speridian_BAAdmin_Add_Delete_Flow
Speridian_ClientAdmin_Add_Edit_Flow
Speridian_Userprofile_Add_Delete_TenantAdmin_Flow</t>
  </si>
  <si>
    <t>Speridian_RC_EmpFlow</t>
  </si>
  <si>
    <t>Created Test Script for Speridian Renewal Center Employee and Added new sheet in Test Data  Speridian_RC_Employee. Created new Employee for Speridian Renewal Center</t>
  </si>
  <si>
    <t>IHA_DeclineAllCoveragesFlow
IHA_SummaryVerificationFlow
IHA_ChangePlanMedicalFlow</t>
  </si>
  <si>
    <t xml:space="preserve">Modified the Test Scripts names for all the flows in IHA.
Modified a few flows and updated the methods for  a couple of flows </t>
  </si>
  <si>
    <t>IHA_UserAdministration
Speridian_UserAdministration</t>
  </si>
  <si>
    <t>IHA and Speridian User Admin TCs and Speridian RC Flow</t>
  </si>
  <si>
    <t>Goin through the recordings and created IHA TCs and worked on Speridian RC Flow</t>
  </si>
  <si>
    <t>IHA_QE_On_MedicalFlow
IHA_UpdateCoveredMembersMedical
IHA_TerminateEmployee</t>
  </si>
  <si>
    <t>Admin,BA,
Employee</t>
  </si>
  <si>
    <t>Added Validation Methods for FBMC and Speridian
both the Tenants. Executed All the Test Scripts
Renewal Center flow for Admin, BA, Emp Users</t>
  </si>
  <si>
    <t>Complete</t>
  </si>
  <si>
    <t>FBMC_ClientAdmin_RegistrationFlow</t>
  </si>
  <si>
    <t>Speridian_Admin_RC</t>
  </si>
  <si>
    <t xml:space="preserve">Had a call with Saran on User Administration TCS, need to update the TCs as per his suggessions.
</t>
  </si>
  <si>
    <t>Complete,  But there we have one Application Issue. I have raised the redmine ticket.</t>
  </si>
  <si>
    <t>Config part (Complete.) Related to Anandha</t>
  </si>
  <si>
    <t>FBMC_EmployeeFlow
Speridian_EmployeeFlow</t>
  </si>
  <si>
    <t>Test case Creation for Both FBMC and Speridian 
Employee flows. Raised defect in the redmine tool.
Got the solution for Speridian Employee flow.</t>
  </si>
  <si>
    <t xml:space="preserve">User Administration and Email log </t>
  </si>
  <si>
    <t>FBMC and Speridian</t>
  </si>
  <si>
    <t>All FBMC and Speridian TCs</t>
  </si>
  <si>
    <t>Had a call with Saran and updated all TCs as suggested and IHA remated TCs pending as need his help.</t>
  </si>
  <si>
    <t>IHA_EmployeeRehireEnroll
IHA_RetroEnrollment
IHA_RetroTermination
IHA_EmployeeReInstate</t>
  </si>
  <si>
    <t>Speridian_Employee</t>
  </si>
  <si>
    <t>Speridian Employee flow Test Script and Pages 
Modication and Attended KT seesion User Adminstration Module for IHA flows</t>
  </si>
  <si>
    <t>IHA_CascadeScenarioFlow
IHA_TerminateMedical
IHA_ReEnrollMedical</t>
  </si>
  <si>
    <t xml:space="preserve">Employee flow </t>
  </si>
  <si>
    <t>worked on the method which was not working for multiple logins. and now its working.
worked on Select plan method.</t>
  </si>
  <si>
    <t xml:space="preserve">Executed Employee Test Script </t>
  </si>
  <si>
    <t>Added new Login1 Method and Executed 
Speridian Employee flows resolving failures</t>
  </si>
  <si>
    <t>IHA_Tenant</t>
  </si>
  <si>
    <t xml:space="preserve">Clean-up in the IHA flows.
Removed unnecessary piece of code from the flows and added the proper code. </t>
  </si>
  <si>
    <t>email log TCs and Common methods updates</t>
  </si>
  <si>
    <t>updated Testcases
worked on select plan and personal information methods to improve performance</t>
  </si>
  <si>
    <t>worked on SelectPlan and Addpersonal information methods to Improve performance as it is taking time to fill details.</t>
  </si>
  <si>
    <t>Created Test Script for IHA Employee</t>
  </si>
  <si>
    <t>IHA_EmployeeFlow</t>
  </si>
  <si>
    <t>Test Script creation for IHA Employee flows and 
Modified Test Data created new sheet for 
IHA_Employee Added required columns</t>
  </si>
  <si>
    <t>IHA_UpdateCoveredMembersMedical</t>
  </si>
  <si>
    <t>Created seperate methods for Clicking the Plan deopdown and Selecting the Covered Members.
Walthrough of the Test cases for Speridian User Administration.</t>
  </si>
  <si>
    <t>Speridian_Admin and FBMC Admin</t>
  </si>
  <si>
    <t>It impacts for all the TCs</t>
  </si>
  <si>
    <t>Now it is taking less time compare to earlier.</t>
  </si>
  <si>
    <t>FBMC_BAAdmin</t>
  </si>
  <si>
    <t>Design new scripts as per updated flow</t>
  </si>
  <si>
    <t>FBMC_BAAdmin -Flow</t>
  </si>
  <si>
    <t>Admin
User Administration</t>
  </si>
  <si>
    <t>Modified the pages and Script execution in new framework. 
Creation of New scripts for User Administration</t>
  </si>
  <si>
    <t>FBMC_Tenant(CC Letter Flows)
Speridian_BA_Admin_RegistratioFlow(50% done)</t>
  </si>
  <si>
    <t>Added the Condition for CC Letters related Flows which will ensure that the CC letter related script will only execute when Admin Credentials are used. 
Started the Scripting for Speridian BA Admin Registration Flow.</t>
  </si>
  <si>
    <t>Modified the Test Scripts and Pages for the IHA Employee flow. Created New Emloyee for the IHA tenant and Implement on the Test Script</t>
  </si>
  <si>
    <t>IHA_UserAdministration</t>
  </si>
  <si>
    <t xml:space="preserve">Admin
</t>
  </si>
  <si>
    <t>Added TCs</t>
  </si>
  <si>
    <t>Userprofile_Add_Edit_Delete_ITUsersetup_Flow
Userprofile_Add_Edit_Delete_IHAAdminVIP_Flow
Userprofile_Add_Edit_Delete_IHAAdmin_Flow
Userprofile_Add_Edit_Delete_IHAEmployee_Flow
Userprofile_Add_Edit_Delete_IHAAccountAdmin_Flow</t>
  </si>
  <si>
    <t>Added IHA admin TCs and fixed ssn as it was still using robo class.</t>
  </si>
  <si>
    <t>User Administration</t>
  </si>
  <si>
    <t>Creation of New scripts for User Administration</t>
  </si>
  <si>
    <t>Speridian_BAAdmin_Add_Edit_Delete_Flow(70% done)</t>
  </si>
  <si>
    <t>Started the Scripting for Speridian BA Admin Registration Flow.</t>
  </si>
  <si>
    <t>Executed Employee Test Script</t>
  </si>
  <si>
    <t>Executed IHA Employee Flow Test Script and Commited IHA Employee flow code. Working on Validation part failure's xpaths in Summary page</t>
  </si>
  <si>
    <t>Framework</t>
  </si>
  <si>
    <t>Framework changes</t>
  </si>
  <si>
    <t>Checed and listed all unused pages and will remove post confirmation with Team</t>
  </si>
  <si>
    <t>Employee, Admin</t>
  </si>
  <si>
    <t>Validated and Executed 
IHA Employee Test Script</t>
  </si>
  <si>
    <t>Completed IHA Employee Flow Test Script and Executed IHA  Validation part. Newly Started IHA Admin and BA Renewal Center Flow</t>
  </si>
  <si>
    <t xml:space="preserve">Ramya </t>
  </si>
  <si>
    <t>Started with Creation of New scripts for User Administration</t>
  </si>
  <si>
    <t>IHA_BAAdmin_Add_Edit_Delete_Flow</t>
  </si>
  <si>
    <t>Created seperate method toEdit the role and update for Speridian user admin.</t>
  </si>
  <si>
    <t>Speridian_BAAdmin_Add_Edit_Delete_Flow(85% done)
Speridian_ClientAdmin_Add_Edit_Delete_Flow(50% done)</t>
  </si>
  <si>
    <t>Started the Scripting for Speridian BA Admin and Client Admin Registration Flow.</t>
  </si>
  <si>
    <t>FBMC_Admin User</t>
  </si>
  <si>
    <t>IHA RC Admin Test Script Preparation</t>
  </si>
  <si>
    <t>IHA_RC_AdminFlow</t>
  </si>
  <si>
    <t>Discuss with Saran IHA Renewal Center Flow 
got Group - Testgroup_834-15  and Started Scripting</t>
  </si>
  <si>
    <t>Speridian_BAAdmin_Add_Edit_Delete_Flow(100% done)
Speridian_ClientAdmin_Add_Edit_Delete_Flow(100% done)
Speridian_UserAdmin_Add_Edit_Delete_Flow(60% done)</t>
  </si>
  <si>
    <t>Scripting in progress for Speridian User Admin Registration Flow.</t>
  </si>
  <si>
    <t xml:space="preserve"> User Administration</t>
  </si>
  <si>
    <t>ValidateIHA_BAAdmin_Add_Edit_Delete_Flow</t>
  </si>
  <si>
    <t>not able to search user after creation, sent mail to Saran.</t>
  </si>
  <si>
    <t>User Profile</t>
  </si>
  <si>
    <t>Started with Creation of New scripts for IHA_Userprofile_Add_Edit_Delete_BrokerManagement_Flow</t>
  </si>
  <si>
    <t>IHA_Userprofile_Add_Edit_Delete_BrokerManagement_Flow</t>
  </si>
  <si>
    <t>started with profile user creation</t>
  </si>
  <si>
    <t>Speridian_UserAdmin_Add_Edit_Delete_Flow(90% done)
UserProfile_Page(50% done)</t>
  </si>
  <si>
    <t>Scripting is almost completed for Speridian User Admin Registration Flow.
Segregation of the UserAdministration_Page into seperate pages is in progress</t>
  </si>
  <si>
    <t>IHA RC Admin</t>
  </si>
  <si>
    <t xml:space="preserve">Facing Effective Date issue discuss with Team Resolved 
that issue Completed IHA Renewal Center Admin Flow Test Script and Created IHA BA User. </t>
  </si>
  <si>
    <t>IHA_UserAdministration/User Profile</t>
  </si>
  <si>
    <t>Facing registration issue, sent mail to Saran.</t>
  </si>
  <si>
    <t>Started with Creation of New scripts for IHA_Userprofile_Add_Edit_Delete_ITUsersetup_Flow</t>
  </si>
  <si>
    <t>IHA_Userprofile_Add_Edit_Delete_ITUsersetup_Flow</t>
  </si>
  <si>
    <t>Admin,BA</t>
  </si>
  <si>
    <t>Executed IHA RC Admin and BA</t>
  </si>
  <si>
    <t>IHA_RC_Admin_BA_Flow</t>
  </si>
  <si>
    <t>Executed IHA Renewal Center Admin and BA user 
Test Scripts. Completed Both Admin and BA user RC.
Newly created for IHA RC Employee user, facing Enrollment Notification Issue, sent mail to Saran</t>
  </si>
  <si>
    <t>Speridian_UserAdmin_Add_Edit_Delete_Flow(100% done)
UserProfile_Page(100% done)</t>
  </si>
  <si>
    <t>Scripting is completed for Speridian User Admin Registration Flow.
Segregation of the UserAdministration_Page into seperate pages is 100% completed</t>
  </si>
  <si>
    <t>FBMC_ClientAdmin_Add_Edit_DeleteFlow</t>
  </si>
  <si>
    <t>FBMC_ClientAdmin -Flow</t>
  </si>
  <si>
    <t>Email log and Transactions</t>
  </si>
  <si>
    <t>IHA Admin</t>
  </si>
  <si>
    <t>Created Manual TCs</t>
  </si>
  <si>
    <t>FBMC_Employee_Edit_registrationFlow
FBMC_Employee_Enrollment_NotificationFlow
Speridian_Employee_Edit_registrationFlow
Speridian_Employee_Enrollment_NotificationFlow
IHA_Employee_Edit_registrationFlow
IHA_Employee_Enrollment_NotificationFlow
IHA_Transactions_Flow</t>
  </si>
  <si>
    <t>Created Manual TCs of Email log and Transactions 
Prepared Status report and sent.</t>
  </si>
  <si>
    <t>Transactions</t>
  </si>
  <si>
    <t>Creation of New scripts for Transactions Module</t>
  </si>
  <si>
    <t>IHA_Transactions_Flow (30% Done)</t>
  </si>
  <si>
    <t>Started scripting of Transactions module Flow for IHA Tenant.</t>
  </si>
  <si>
    <t xml:space="preserve">Started with Creation of New scripts </t>
  </si>
  <si>
    <t>FBMC_Employee_Edit_registrationFlow</t>
  </si>
  <si>
    <t>Started with Creation of New scripts for FBMC Employee Edit Registration Flow and Added required columns, rows in the Test data.</t>
  </si>
  <si>
    <t xml:space="preserve">FBMC_EnrollmentSupport_Add_Edit_DeleteFlow
</t>
  </si>
  <si>
    <t>IHA_UserProfile</t>
  </si>
  <si>
    <t>TC Design</t>
  </si>
  <si>
    <t>IHA_Userprofile_Add_Edit_Delete_ITUsersetup_Flow
IHA_Userprofile_Add_Edit_Delete_IHAAdminVIP_Flow
IHA_Userprofile_Add_Edit_Delete_IHAAdmin_Flow
IHA_Userprofile_Add_Edit_Delete_Employee_Flow
IHA_Userprofile_Add_Edit_Delete_AccountAdmin_Flow
IHA_Userprofile_Add_Edit_Delete_MarketingWeb_Flow
IHA_Userprofile_Add_Edit_Delete_MemberCallCenter_Flow</t>
  </si>
  <si>
    <t>Broker Management
Marketing Web
Member Call Center
The above roles are not working and same confirmed from Saran.</t>
  </si>
  <si>
    <t>IHA_Transactions_Flow (50% Done)</t>
  </si>
  <si>
    <t>FBMC - Email Logs</t>
  </si>
  <si>
    <t>Creation of New Scripts</t>
  </si>
  <si>
    <t>Almost done FBMC Email Logs only Validations are Pending. Added required methods and Xpaths</t>
  </si>
  <si>
    <t>IHA_Userprofile_Add_Edit_Delete_MemberOps_Flow
IHA_Userprofile_Add_Edit_Delete_SalesOps_Flow</t>
  </si>
  <si>
    <r>
      <rPr>
        <b/>
        <sz val="11"/>
        <color rgb="FFFF0000"/>
        <rFont val="Calibri"/>
        <scheme val="minor"/>
      </rPr>
      <t xml:space="preserve">Completed IHA_UserAdmin flow and has 5 issues, which is reported to Saran.
</t>
    </r>
    <r>
      <rPr>
        <sz val="11"/>
        <color rgb="FF000000"/>
        <rFont val="Calibri"/>
        <scheme val="minor"/>
      </rPr>
      <t>And reviewed code and did some changes.
Code has been commited.</t>
    </r>
  </si>
  <si>
    <t>IHA_Transactions_Flow (70% Done)</t>
  </si>
  <si>
    <t>FBMC_Employee_Enrollment_NotificationFlow</t>
  </si>
  <si>
    <t>Started with Creation of New scripts for 
FBMC Employee Enrollment Notification Flow and 
Added required columns, rows in the Test data.</t>
  </si>
  <si>
    <t xml:space="preserve">FBMC_userprofile_Add_Edit_Delete_CorrespondenceAdmin_Flow 
</t>
  </si>
  <si>
    <t>IHA_useradmin</t>
  </si>
  <si>
    <t>IHA_ClientAdmin_Add_Edit_Delete_Flow
IHA_BAAdmin_Add_Edit_Delete_Flow</t>
  </si>
  <si>
    <t>Client and BA roles worked when i give random SFentity and completed scripting</t>
  </si>
  <si>
    <t>IHA_Transactions_Flow (80% Done)</t>
  </si>
  <si>
    <t>scripting of Transactions module Flow for New and Renewal Transaction Types in IHA. 
For Mutli Transaction it is in progress, as new reocrds to be added.</t>
  </si>
  <si>
    <t>FBMC - Email Logs
Speridian - Email Logs</t>
  </si>
  <si>
    <t>Executed FBMC Employee Enrolment Notifiaction</t>
  </si>
  <si>
    <t>Completed FBMC Employee Enrollment Notification Flow and Started Speridian Employee Edit Registration Flow and Added required columns, rows in the Test data.</t>
  </si>
  <si>
    <t>IHA_BrokerManagement</t>
  </si>
  <si>
    <t>Manual TC Design</t>
  </si>
  <si>
    <t>IHA_BrokerManagementt_Flow</t>
  </si>
  <si>
    <t>Added these Add Agency, Add contact, Add Account, Send Notification, Terminate flows</t>
  </si>
  <si>
    <t>Speridian - Email Logs</t>
  </si>
  <si>
    <t>Executed Speridian Employee Edit Registration Flow</t>
  </si>
  <si>
    <t>Speridian_Employee_Edit_registrationFlow</t>
  </si>
  <si>
    <t>Completed Speridian Employee Edit Registration Flow and Started Speridian Employee Enrollment Notification Flow and Added required columns, rows in the Test data.</t>
  </si>
  <si>
    <t>IHA_Transactions_Flow (80% Done) - On-Hold</t>
  </si>
  <si>
    <r>
      <rPr>
        <sz val="11"/>
        <color rgb="FFFF0000"/>
        <rFont val="Calibri"/>
        <scheme val="minor"/>
      </rPr>
      <t xml:space="preserve">For Mutli Transaction it is in progress, as new reocrds to be added. Dev Team is working on Adding new data. Hence it is on hold for now.
</t>
    </r>
    <r>
      <rPr>
        <sz val="11"/>
        <color rgb="FF000000"/>
        <rFont val="Calibri"/>
        <scheme val="minor"/>
      </rPr>
      <t xml:space="preserve">
Modified the code by adding the try-catch blocks in the pages where it was missing.
Had a walkthrough of the Testcases related to Broker Management.</t>
    </r>
  </si>
  <si>
    <t>FBMC_Userprofile_Add_Edit_Delete_TenantAdmin_Flow</t>
  </si>
  <si>
    <t xml:space="preserve">FBMC_Userprofile_Add_Edit_Delete_TenantAdmin_Flow
</t>
  </si>
  <si>
    <t>IHA_Content Management</t>
  </si>
  <si>
    <t xml:space="preserve">IHA_ContentManagement_SectionTitle_Flow
IHA_ContentManagement_Documents_Flow
IHA_ContentManagement_Pages_Flow
</t>
  </si>
  <si>
    <t>Went through the Content mgt Recordings and started Adding TCS.</t>
  </si>
  <si>
    <t>Creation of New scripts for Broker Management Module</t>
  </si>
  <si>
    <t>IHA_BrokerManagement_Flow</t>
  </si>
  <si>
    <t>Started Scripting of Broker Management module Flow for IHA Tenant.</t>
  </si>
  <si>
    <t>Executed Speridian Employee Enrollment Notification Flow</t>
  </si>
  <si>
    <t>Speridian_Employee_Enrollment_NotificationFlow</t>
  </si>
  <si>
    <t>Completed Speridian Employee Enrollment Notification Flow and Started IHA Employee and Added required columns, rows in the Test data. Created Redmine for No records founds</t>
  </si>
  <si>
    <t>completed</t>
  </si>
  <si>
    <t>IHA_Content Management
FBMC_ContentManagement</t>
  </si>
  <si>
    <t>IHA_ContentManagement_AccountAdminLanding_Pages_Flow
IHA_ContentManagement_EmployeeLanding_Pages_Flow
IHA_ContentManagement_Administratiors_Banner_Flow
IHA_ContentManagement_Employee_Banner_Flow
FBMC_ContentManagement_SectionTitle_Flow
FBMC_ContentManagement_Documents_Flow
FBMC_ContentManagement_AccountAdminLanding_Pages_Flow
FBMC_ContentManagement_EmployeeLanding_Pages_Flow
FBMC_ContentManagement_Administratiors_Banner_Flow
FBMC_ContentManagement_Employee_Banner_Flow</t>
  </si>
  <si>
    <t>Some functionality is not same as shown in Demo, so checked with Gopi.
Some more items are added in Saran's TCs sheet, so checking with Gopi on those. Once it is confirm i will add those TCs.</t>
  </si>
  <si>
    <t>IHA - Email Logs</t>
  </si>
  <si>
    <t>Executed IHA Employee Enrollment Notification Flow</t>
  </si>
  <si>
    <t>IHA_Employee_Edit_registrationFlow and 
IHA_Employee_Enrollment_NotificationFlow</t>
  </si>
  <si>
    <t>Completed IHA_Employee_Edit_registrationFlow and IHA Employee Enrollment Notification Flow</t>
  </si>
  <si>
    <t>IHA_BrokerManagement_Flow(25% done)</t>
  </si>
  <si>
    <t>Scripting of Broker Management module Flow for IHA Tenant is in progress.
Issue find and reported where in the user is not able to click on the Save button after editing the Agency details. Issue#:- 49095</t>
  </si>
  <si>
    <t>FBMC_ContentManagement
Speridian_ContentManagement</t>
  </si>
  <si>
    <t>Completed FBMC and Speridian TCs</t>
  </si>
  <si>
    <t>Completed Content management TCs and did code changes of RC admin of Terminate Plan but TCs are failing, so checking on it.</t>
  </si>
  <si>
    <t>IHA_BrokerManagement_Flow(40% done)</t>
  </si>
  <si>
    <t>Scripting of Broker Management module Flow for IHA Tenant is in progress.</t>
  </si>
  <si>
    <t>Content 
Management</t>
  </si>
  <si>
    <t>Go through Content Management KT recordings</t>
  </si>
  <si>
    <t>IHA_ContentManagement_Notification</t>
  </si>
  <si>
    <t xml:space="preserve">Go through Content Management KT recordings
Check with Gopi Content Management Notification Flow </t>
  </si>
  <si>
    <t>Speridian - RC_Admin</t>
  </si>
  <si>
    <t>RC_Admin</t>
  </si>
  <si>
    <t>Modifications</t>
  </si>
  <si>
    <t>FBMC_RC_AdminFlow
Speridian_RC_AdminFlow
IHA_RC_AdminFlow</t>
  </si>
  <si>
    <t>added Termination plan code to all 3 TCs and tested with Speridian it is working as expected and Since FBMC and IHA RC is disabled so could not able to test it.</t>
  </si>
  <si>
    <t>Creation of New scripts for Content Management 
Section Title</t>
  </si>
  <si>
    <t>FBMC_ContentManagement_SectionTitle_Flow</t>
  </si>
  <si>
    <t>Started with Creation of New scripts for 
FBMC ContentManagement SectionTitle Flow and 
Added required and columns, rows in the Test data. Created New Page for Content Management</t>
  </si>
  <si>
    <t>IHA_BrokerManagement_Flow(55% done)</t>
  </si>
  <si>
    <t>IHA, FBMC_ContentManagement
Speridian_ContentManagement</t>
  </si>
  <si>
    <t>Updated some points FBMC, IHA and Speridian TCs as per Saran review</t>
  </si>
  <si>
    <t>Need to have some Clarification with Saran.</t>
  </si>
  <si>
    <t>Creation of New scripts for FBMC ContentManagement SectionTitle Flow and 
facing some issues in Uploading documents</t>
  </si>
  <si>
    <t>IHA_BrokerManagement_Flow(72% done)</t>
  </si>
  <si>
    <t>Upload file method</t>
  </si>
  <si>
    <t>Fixed the upload file method and now it is working as expected.
Fixed WaitForLoadAnimationDisappear() method.</t>
  </si>
  <si>
    <t>Executed Content Management Section Title Flow</t>
  </si>
  <si>
    <t>Pull the latest Select and upload documents code Executed and Completed ContentManagement SectionTitle Flow. Renamed Package</t>
  </si>
  <si>
    <t>IHA_BrokerManagement_Flow(81% done)</t>
  </si>
  <si>
    <t>IHA_ContentManagement</t>
  </si>
  <si>
    <t>Updated some steps and added new TCs for IHA as per Saran review.
IHA_ContentManagement_Images_Flow
IHA_ContentManagement_Notifications_Flow
IHA_ContentManagement_Review_Flow</t>
  </si>
  <si>
    <t>Need to have some Clarification with Gopi.</t>
  </si>
  <si>
    <t>IHA_BrokerManagement_Flow(90% done)</t>
  </si>
  <si>
    <t>Creation of Content Management Section Title Flow</t>
  </si>
  <si>
    <t>FBMC_ContentManagement_SectionTitle_Edit_AddWorddoc_Flow</t>
  </si>
  <si>
    <t>Have some doubts connect with Gopi. Need some  clarification to Automate code and facing Xpath issue for Selecting Account and Selecting Business Segment</t>
  </si>
  <si>
    <t>SelectAudienceAccount method
Businesssegment method and Select Account Method</t>
  </si>
  <si>
    <t>Fixed the SelectAudienceAccount method and now it is working as expected.
Added another method SelectAudienceBusinesssegment method</t>
  </si>
  <si>
    <t>Fixing some issues related to the script.</t>
  </si>
  <si>
    <t>Creation of ContentManagement  Review Flow</t>
  </si>
  <si>
    <t>FBMC_ContentManagement_Review_Flow</t>
  </si>
  <si>
    <t>Creation of New scripts for FBMC ContentManagement Review Flow and Created new pages, Added required rows in the Test data.</t>
  </si>
  <si>
    <t>Added notification TCS.
IHA_ContentManagement_Employee Registration_Notifications_Flow
IHA_ContentManagement_AgencyContactTermination_Notifications_Flow</t>
  </si>
  <si>
    <t>Speridian_ContentManagement</t>
  </si>
  <si>
    <t>Creation of New scripts for Speridian_Content Management 
Section Title</t>
  </si>
  <si>
    <t>Speridian_ContentManagement_SectionTitle_Flow</t>
  </si>
  <si>
    <t>Creation of ContentManagement   Account Admin LandingPageFlow</t>
  </si>
  <si>
    <t>FBMC_ContentManagement_AccountAdminLanding_Pages_Flow</t>
  </si>
  <si>
    <t>Creation of New scripts for FBMC ContentManagement Account Admin Landing Pages Flow and Created new pages, Added required rows in the Test data.</t>
  </si>
  <si>
    <t>IHA_BrokerManagement_Flow(94% done)</t>
  </si>
  <si>
    <t>Speridian_ContentManagement_SectionTitle_Flow
Speridian_ContentManagement_Review_Flow</t>
  </si>
  <si>
    <t>IHA_Admin User</t>
  </si>
  <si>
    <t>IHA Content ContentManagement</t>
  </si>
  <si>
    <t>IHA_ContentManagement_SectionTitle_Edit_AddWorddoc_Flow_Userprofile_Add_Edit_Delete_TenantAdmin_Flow</t>
  </si>
  <si>
    <t>Creation of New scripts for FBMC ContentManagement Account Admin Landing Pages Flow and Created new methods in pages class.</t>
  </si>
  <si>
    <t xml:space="preserve">New script creation </t>
  </si>
  <si>
    <t>IHA_ContentManagement_SectionTitle_Edit_AddWorddoc_Flow</t>
  </si>
  <si>
    <t>IHA_ContentManagement_AddAgencyContact_Register_Notifications_Flow</t>
  </si>
  <si>
    <t>New script creation</t>
  </si>
  <si>
    <t>Speridian_ContentManagement_AccountAdminLanding_Pages_Flow</t>
  </si>
  <si>
    <t>Creation of New scripts for FBMC ContentManagement Account Admin Landing Pages Flow Completed</t>
  </si>
  <si>
    <t>New script creation - Add Document Section Title</t>
  </si>
  <si>
    <t>IHA_ContentManagement_TerminateAccountwithAdgencyContact_Notifications_Flow</t>
  </si>
  <si>
    <t>worked on common Search dropdown</t>
  </si>
  <si>
    <t>Creation of ContentManagement   Employee LandingPageFlow</t>
  </si>
  <si>
    <t>FBMC_ContentManagement_EmployeeLanding_Pages_Flow</t>
  </si>
  <si>
    <t>Creation of New scripts for FBMC ContentManagement Employee Landing Pages Flow and Added required rows in the Test data.</t>
  </si>
  <si>
    <t>IHA_BrokerManagement_Flow(99% done)</t>
  </si>
  <si>
    <t>Added multiple validation related methods</t>
  </si>
  <si>
    <t>IHA_ContentManagement, Speridian and FBMC</t>
  </si>
  <si>
    <t>updated TCS</t>
  </si>
  <si>
    <t>Completed except Document TCs.</t>
  </si>
  <si>
    <t>issue related to Body in the notification</t>
  </si>
  <si>
    <t>ValidateIHA_Transactions_Flow</t>
  </si>
  <si>
    <t>I fixed and now it is working</t>
  </si>
  <si>
    <t>Creation of ContentManagement   Administratiors CopyBannerFlow</t>
  </si>
  <si>
    <t>FBMC_ContentManagement_Administratiors_CopyBanner_Flow</t>
  </si>
  <si>
    <t>Completed FBMC ContentManagement Employee Landing Pages Flow and Creation of New scripts &amp; pages for FBMC ContentManagement Administratiors CopyBannerFlow.</t>
  </si>
  <si>
    <t>IHA_BrokerManagement_Flow(100% done)</t>
  </si>
  <si>
    <t>Added multiple validation related methods and made the script dynamic for Broker/TPA/Office Staff</t>
  </si>
  <si>
    <t>fixed 
addAlertmessage()
selectrole()</t>
  </si>
  <si>
    <t xml:space="preserve"> selectrole() and AddAlertMessage() was not working and i fixed now it is working.</t>
  </si>
  <si>
    <t>New script creation -ContentManagement EmployeeLanding</t>
  </si>
  <si>
    <t>IHA_ContentManagement_EmployeeLanding_Pages_Flow</t>
  </si>
  <si>
    <t xml:space="preserve">Creation of New scripts &amp; pages for FBMC ContentManagement Administratiors CopyBannerFlow and Completed </t>
  </si>
  <si>
    <t xml:space="preserve">Had a walkthrough of all the pages and added try catch blocks for all the methods where it was missing in all pages </t>
  </si>
  <si>
    <t>Automation Script</t>
  </si>
  <si>
    <t>Working on this TC.</t>
  </si>
  <si>
    <t>Speridian_ContentManagement_Review_Flow</t>
  </si>
  <si>
    <t xml:space="preserve">Updated logic and xpaths in the TC </t>
  </si>
  <si>
    <t>Content Management</t>
  </si>
  <si>
    <t>Creation of New scripts for Content Management Module</t>
  </si>
  <si>
    <t>FBMC_ContentManagement_SectionTitle_Edit_AddExcel_Pdf_Flow</t>
  </si>
  <si>
    <t>Creating new script for FBMC Content Management Section Title Edit AddExcel Pdf Flow</t>
  </si>
  <si>
    <t>FBMC_ContentManagement_Employee_Banner_Flow</t>
  </si>
  <si>
    <t>Creation of New scripts FBMC ContentManagement Employee Banner Flow Completed</t>
  </si>
  <si>
    <t>Completed but need some clarification.</t>
  </si>
  <si>
    <t>Speridian_ContentManagement_EmployeeLanding_Pages_Flow</t>
  </si>
  <si>
    <t>IHA_ContentManagement_AccountAdminLanding_Pages_Flow</t>
  </si>
  <si>
    <t>FBMC_ContentManagement_Images_Flow</t>
  </si>
  <si>
    <t>Creation of New scripts and pages for FBMC ContentManagement Images Flow  and added required rows and columns in Testdata Completed</t>
  </si>
  <si>
    <t>FBMC_ContentManagement_SectionTitle_Edit_AddExcel_Pdf_Flow(40% Done)</t>
  </si>
  <si>
    <t>Scripting for FBMC Content Management Section Title Edit AddExcel Pdf Flow</t>
  </si>
  <si>
    <t>Speridian and FBMC</t>
  </si>
  <si>
    <t>Completed but need some clarification, will check with Gopi on Image and docs are not getting selected.</t>
  </si>
  <si>
    <t>helped Anadh on Image browse method and now it is working.
created methods and committed to Master.</t>
  </si>
  <si>
    <t>IHA_ContentManagement_Review_Flow</t>
  </si>
  <si>
    <t>FBMC_ContentManagement_SectionTitle_Edit_AddExcel_Pdf_Flow(65% Done)</t>
  </si>
  <si>
    <t>FBMC_ContentManagement_Documents_AddwordDoc_Flow</t>
  </si>
  <si>
    <t>Creation of New scripts and pages for FBMC ContentManagement Documents AddwordDoc Flow and added rows and columns in Testdata</t>
  </si>
  <si>
    <t>IHA_ContentManagement_SectionTitle_Edit_AddExcel_Pdf_Flow</t>
  </si>
  <si>
    <t>"Not tested verification of page changes by logging in Support user 
below:
1. Document changes
2. Image changes (Image upload is not working)
as status is not getting changed immediately. But code is added.
3. Unpublish also done but cannot test.
4. Preview is taking too long but code is added."</t>
  </si>
  <si>
    <t>Creation of New scripts and methods for FBMC ContentManagement Documents AddwordDoc and facing xpath issue need to discuss Ramya</t>
  </si>
  <si>
    <t>FBMC_ContentManagement_SectionTitle_Edit_AddExcel_Pdf_Flow(85% Done)</t>
  </si>
  <si>
    <t>Dcoument changes</t>
  </si>
  <si>
    <t>added code to pick values from dropdown.</t>
  </si>
  <si>
    <t>Creation of New scripts for FBMC Content Management Module</t>
  </si>
  <si>
    <t>FBMC_ContentManagement_SectionTitle_Edit_AddExcel_Pdf_Flow (100% Done)</t>
  </si>
  <si>
    <t>Scripting for FBMC Content Management Section Title Edit AddExcel Pdf Flow is completed.
Started adding the Try catch block in the newly created pages, as it is missing for all the methods.</t>
  </si>
  <si>
    <t>Creation of New scripts and methods for FBMC ContentManagement Documents AddwordDoc Flow Completed Scripts but facing Application issue when we Publish document</t>
  </si>
  <si>
    <t xml:space="preserve">Completed </t>
  </si>
  <si>
    <t>Speridian_ContentManagement_Employee_Banner_Flow</t>
  </si>
  <si>
    <t>In-progress, as Edit is not working</t>
  </si>
  <si>
    <t>Speridian_ContentManagement_Administratiors_CopyBanner_Flow</t>
  </si>
  <si>
    <t>IHA_ContentManagement_Images_Flow</t>
  </si>
  <si>
    <t>In- progress</t>
  </si>
  <si>
    <t>FBMC_ContentManagement_Documents_AddPdf_Excel_Doc_Flow</t>
  </si>
  <si>
    <t>Creation of New scripts and methods for FBMC ContentManagement Documents AddPdf Excel Doc Flow and Added rows in the Test data.</t>
  </si>
  <si>
    <t>SectionTitles_Page
ContentManagement_Page</t>
  </si>
  <si>
    <t>Started adding the Try catch block in the newly created pages, as it is missing for all the methods.</t>
  </si>
  <si>
    <t>Speridian_ContentManagement_SectionTitle_Edit_AddExcel_Pdf_Flow</t>
  </si>
  <si>
    <t>added selectDropdownValues(), selectwordDocs, select_PDF and select_Excel()</t>
  </si>
  <si>
    <t>IHA_ContentManagement_Images_Flow   -  Completed
IHA_ContentManagement_Employee_Banner_Flow</t>
  </si>
  <si>
    <t>FBMC_ContentManagement_SectionTitle_Edit_AddExcel_Pdf_Flow
FBMC_ContentManagement_EmployeeRegistration_Notifications_Flow</t>
  </si>
  <si>
    <t>Modification of  the FBMC Content Management Section Title Edit AddExcel Pdf Flow is completed as per the flow changes.
Started the scripting for Scripting for FBMC Content Management Employee Registration Notifications Flow.</t>
  </si>
  <si>
    <t>Modified the Scripts</t>
  </si>
  <si>
    <t>FBMC_ContentManagement_EmployeeLanding_Pages_Flow
FBMC_ContentManagement_AccountAdminLanding_Pages_Flow</t>
  </si>
  <si>
    <t>Modified FBMC ContentManagement Account 
AdminLanding Pages Flow and FBMC 
ContentManagement EmployeeLanding Pages Flow</t>
  </si>
  <si>
    <t>Speridian_ContentManagement_Documents_AddwordDoc_Flow</t>
  </si>
  <si>
    <t>Modified SearchDrpdownverification() as it has been added with "Include Deleted" Option.
WaitForLoadAnimationDisappear()</t>
  </si>
  <si>
    <t>FBMC_ContentManagement_EmployeeRegistration_Notifications_Flow(40% done)</t>
  </si>
  <si>
    <t>Scripting for FBMC Content Management Employee Registration Notifications Flow is in progress.</t>
  </si>
  <si>
    <t>Modified the Scripts and 
Creation of New Scripts</t>
  </si>
  <si>
    <t>Speridian_ContentManagement_Administratiors_CopyBanner_Flow
Speridian_ContentManagement_Employee_Banner_Flow
IHA_ContentManagement_Administratiors_CopyBanner_Flow</t>
  </si>
  <si>
    <t>Modified Speridian ContentManagement Administratiors CopyBanner Flow and Speridian ContentManagement Employee Banner Flow, Started Creation of New Scripts IHA ContentManagement Administratiors CopyBanner Flow</t>
  </si>
  <si>
    <t>Speridian_ContentManagement_Documents_AddPdf_Excel_Doc_Flow</t>
  </si>
  <si>
    <t xml:space="preserve"> </t>
  </si>
  <si>
    <t>Worked on Banner-SearchDrpdownverification() which was failing for unpublished due to UnPublished and Unpublished status and fixed , now its working fine.</t>
  </si>
  <si>
    <t>FBMC_ContentManagement_EmployeeRegistration_Notifications_Flow(100% done)
IHA_ContentManagement_EmployeeRegistration_Notifications_Flow</t>
  </si>
  <si>
    <t>Scripting for FBMC Content Management Employee Registration Notifications Flow is completed.
Started scripting for IHA Content Management Employee Registration Notifications Flow.</t>
  </si>
  <si>
    <t>IHA_ContentManagement_Documents_AddPdf_Excel_Doc_Flow</t>
  </si>
  <si>
    <t>Creation of New scripts and methods for IHA ContentManagement Documents AddPdf Excel Doc Flow and Added rows in the Test data.</t>
  </si>
  <si>
    <t>IHA_ContentManagement_Employee_Banner_Flow  _    Completed IHA_ContentManagement_Administratiors_CopyBanner_Flow</t>
  </si>
  <si>
    <t>Speridian_ContentManagement_Images_Flow</t>
  </si>
  <si>
    <t>IHA_ContentManagement_EmployeeRegistration_Notifications_Flow (70% Done)</t>
  </si>
  <si>
    <t xml:space="preserve">Scripting for IHA Content Management Employee Registration Notifications Flow is in progress. </t>
  </si>
  <si>
    <t>Creation of New scripts for IHA Content Management Module</t>
  </si>
  <si>
    <t>IHA_ContentManagement_Documents_AddwordDoc_Flow</t>
  </si>
  <si>
    <t>Creation of New scripts and methods for IHA ContentManagement Documents AddwordDoc Flow and Added rows in the Test data.</t>
  </si>
  <si>
    <t>IHA_ContentManagement_Administratiors_CopyBanner_Flow</t>
  </si>
  <si>
    <t>Business rules</t>
  </si>
  <si>
    <t>FBMC_TerminatePolicy_Miami_ Medial_turns65
FBMC_TerminatePolicy_Dual_ HospitalIndeminity_turns65
FBMC_TerminatePolicy_LakeSumter_BasicAD&amp;D_turns70</t>
  </si>
  <si>
    <t>Going throgh the KT Recordings and preparing TCs.</t>
  </si>
  <si>
    <t>IHA
Speridian</t>
  </si>
  <si>
    <t>IHA_ContentManagement_EmployeeRegistration_Notifications_Flow (100% Done)
Speridian_ContentManagement_EmployeeRegistration_Notifications_Flow (50% Done)</t>
  </si>
  <si>
    <t xml:space="preserve">Scripting for IHA Content Management Employee Registration Notifications Flow is completed. 
Scripting for Speridian Content Management Employee Registration Notifications Flow is in progress. </t>
  </si>
  <si>
    <t>Creating new script</t>
  </si>
  <si>
    <t>IHA_ContentManagement_AgencyContactTermination_Notifications_Flow</t>
  </si>
  <si>
    <t>FBMC_ChangeRate_in_previousmonth_memberturns_70or75
FBMC_Terminate_Nondisabledchild_dependent_onturning26_DuvalCountyPublicSchools
FBMC_TerminatePolicy_Dual_ Medical_turns65_JacksonHealthSystem
FBMC_Terminate_Nondisabledchild_dependent_onturning26_stateofwest
FBMC_Terminate_Nondisabledchild_dependent_onturning26_DuvalCountyPublicSchools</t>
  </si>
  <si>
    <t>In-progress(40%)</t>
  </si>
  <si>
    <t>IHA_ContentManagement_EmployeeLanding_Pages_Flow
IHA_ContentManagement_AccountAdminLanding_Pages_Flow</t>
  </si>
  <si>
    <t>Modified IHA ContentManagement Account 
AdminLanding Pages Flow and IHA 
ContentManagement EmployeeLanding Pages Flow and Modified Test Data</t>
  </si>
  <si>
    <t>Speridian_ContentManagement_EmployeeRegistration_Notifications_Flow (100% Done)</t>
  </si>
  <si>
    <t xml:space="preserve">Scripting for Speridian Content Management Employee Registration Notifications Flow is completed. </t>
  </si>
  <si>
    <t xml:space="preserve">FBMC_TerminatePolicy_DualCounty_turns65
FBMC_TerminatePolicy_DualCounty_turns65_onSep30
FBMC_TerminatePolicy_JacksonHealthSystem_Turns65
FBMC_TerminatePolicy_Lake Sumter_BasicAD&amp;D_turns70
FBMC_TerminatePolicy_Manatee-Sarasota_BasicAD&amp;D_turns70
FBMC_Terminate_Nondisabledchild_turn26_stateofwest
FBMC_Terminate_Nondisabledchild_turn26_DuvalCounty 
FBMC_ChangeRate_in_previousmonth_turns_70or75
FBMC_TerminatePolicy_previousmonth_spouse70
</t>
  </si>
  <si>
    <t>rechecked all TCS with Tpa admin and modified TCs.</t>
  </si>
  <si>
    <t>IHA_ContentManagement_TerminateAccountwithAgencyContact_Notifications_Flow(70%)</t>
  </si>
  <si>
    <t>Creation of New scripts and methods for IHA Content Management Terminate Account with Agency Contact Notifications Flow and Added rows in the Test data.</t>
  </si>
  <si>
    <t>Business Automation Rules</t>
  </si>
  <si>
    <t>Creation of New Scripts for Business Automation Rules</t>
  </si>
  <si>
    <t>FBMC_TerminatePolicy_DualCounty_turns65 (100% done)
FBMC_TerminatePolicy_DualCounty_turns65_Sep30 (50% done)</t>
  </si>
  <si>
    <t>Creation of New scripts and methods for FBMC_TerminatePolicy_DualCounty_turns65  and FBMC_TerminatePolicy_DualCounty_turns65 _Sep30</t>
  </si>
  <si>
    <t>updated TC as Anandh was facing an issues-
IHA_ContentManagement_TerminateAccountwithAgencyContact_Notifications_Flow</t>
  </si>
  <si>
    <t>Now it is working, committed code to Anandh branch.</t>
  </si>
  <si>
    <t>updated Tectcase</t>
  </si>
  <si>
    <t>updated Manual TC</t>
  </si>
  <si>
    <t>updated FBMC_TerminatePolicy_Manatee-Sarasota_BasicAD&amp;D_turns70 by checking with Saran.
FBMC_Florida_ChangeRate_turns_70or75</t>
  </si>
  <si>
    <t>FBMC_Flagler_ChangeBenifitamt_turns_70or75</t>
  </si>
  <si>
    <t>Have query, sent to Saran</t>
  </si>
  <si>
    <t>FBMC_TerminatePolicy_DualCounty_turns65_Sep30 (100% done)
FBMC_TerminatePolicy_DualCounty_turns65 (60% done) (Jackson Health Systems)</t>
  </si>
  <si>
    <t>Creation of New scripts and methods for  FBMC_TerminatePolicy_DualCounty_turns65 (60% done) (Jackson Health Systems) and completed the scripting for FBMC_TerminatePolicy_turns65 _Sep30 (Jackson Health Systems)</t>
  </si>
  <si>
    <t>IHA_ContentManagement_AddAgencyContact_Register_Notifications_Flow(100%)</t>
  </si>
  <si>
    <t>IHA_ContentManagement_TerminateAccountwithAgencyContact_Notifications_Flow(100%)</t>
  </si>
  <si>
    <t>Creation of New scripts and methods for IHA Content Management Terminate Account with Agency Contact Notifications Flow Completed. But Taking more time to trigger Email logs</t>
  </si>
  <si>
    <t>FBMC_TerminatePolicy_Lake Sumter_BasicAD&amp;D_turns70</t>
  </si>
  <si>
    <t>started and it is in-progress</t>
  </si>
  <si>
    <t>FBMC_Daytona_Coverageamt_ChangeLifeBenefitReduction_turns_70or75</t>
  </si>
  <si>
    <t>Its not working as expected, Observations sent to Saran</t>
  </si>
  <si>
    <t>FBMC_Terminate_stateofwest_Nondisabledchild_turn26</t>
  </si>
  <si>
    <t>In-progress(60%)</t>
  </si>
  <si>
    <t>FBMC_TerminatePolicy_Manatee_Sarasota_BasicAD_D_turns70</t>
  </si>
  <si>
    <t>Creation of New scripts and methods for FBMC TerminatePolicy Manatee Sarasota BasicAD&amp;D turns70 and Added rows in the Test data.</t>
  </si>
  <si>
    <t>FBMC_TerminatePolicy_DualCounty_turns65 (100% done) (Jackson Health Systems)
FBMC_TerminatePolicy_previousmonth_spouse70 (70% done)</t>
  </si>
  <si>
    <t>Creation of New scripts and methods for FBMC_TerminatePolicy_previousmonth_spouse70  (70% done)  and completed the scripting for FBMC_TerminatePolicy_DualCounty_turns65 (Jackson Health Systems)</t>
  </si>
  <si>
    <t>FBMC_TerminatePolicy_previousmonth_spouse70 (95% done)</t>
  </si>
  <si>
    <t>Creation of New scripts and methods for FBMC_TerminatePolicy_previousmonth_spouse70  (95% done) .</t>
  </si>
  <si>
    <t>Modified verifyTerminationDateToAllPlans()</t>
  </si>
  <si>
    <t>FBMC_Terminate_DuvalCounty _Nondisabledchild_turn26</t>
  </si>
  <si>
    <t>Creation of New scripts and methods for FBMC Daytona
 Coverageamt ChangeLifeBenefitReduction turns 70or75. 
Validation have doubts</t>
  </si>
  <si>
    <t>FBMC_TerminatePolicy_previousmonth_spouse70 (100% done)
FBMC_Florida_ChangeRate_turns_70or75 (60% done)</t>
  </si>
  <si>
    <t>Creation of New scripts and methods for FBMC_Florida_ChangeRate_turns_70or75 is in progress and FBMC_TerminatePolicy_previousmonth_spouse70 is completed.</t>
  </si>
  <si>
    <t>updation of existing TCs</t>
  </si>
  <si>
    <t>executed all TCs after modifying verifyTerminationDateToAllPlans() and selectPlans(),
and passing Termination date from Test data to all TCS.</t>
  </si>
  <si>
    <t xml:space="preserve">Speridian Content Mgt </t>
  </si>
  <si>
    <t>executed all TCs</t>
  </si>
  <si>
    <t>failed 2 TCs</t>
  </si>
  <si>
    <t>Business Automation Rules
and Speridian Content Management(2 Tc's), IHA User Registration(14 Tc's)</t>
  </si>
  <si>
    <t>Creation of New Scripts for Business Automation Rules and Executed all TC's</t>
  </si>
  <si>
    <t>Creation of New scripts and methods for FBMC Daytona
 Coverageamt ChangeLifeBenefitReduction turns 70or75 Completed. No records found while executing Automation Scriots</t>
  </si>
  <si>
    <t>FBMC_Florida_ChangeRate_turns_70or75 (100% done)</t>
  </si>
  <si>
    <t xml:space="preserve">Creation of New scripts and methods for FBMC_Florida_ChangeRate_turns_70or75 is completed.
Executed the Broker Management Test cases and Started execution of Speridian User Admin Test cases. </t>
  </si>
  <si>
    <t>user administration</t>
  </si>
  <si>
    <t xml:space="preserve">script execution </t>
  </si>
  <si>
    <t>executed all scripts and some are failing due to email log
Modified method- validatename(String value), as it was going to infinite loop when the employee name is not found under email log.</t>
  </si>
  <si>
    <t>committed code and merged.</t>
  </si>
  <si>
    <t>User administration</t>
  </si>
  <si>
    <t>Execution of Speridian User Admin Test Cases</t>
  </si>
  <si>
    <t>Speridian User Admin Test Cases execution</t>
  </si>
  <si>
    <t xml:space="preserve">Executed the Speridian User Admin Test cases. </t>
  </si>
  <si>
    <t>,FBMC</t>
  </si>
  <si>
    <t>IHA Content management, FBMC_User_Admin_Registration</t>
  </si>
  <si>
    <t>IHA Content Management &amp; FBMC_User_Admin_RegistrationTest Cases execution</t>
  </si>
  <si>
    <t>IHA Content management all test cases pass
FBMC_User_Admin_Registration 4 Test cases pass</t>
  </si>
  <si>
    <t>IHA_User_Admin_Registration</t>
  </si>
  <si>
    <t>IHA_User_Admin_Registration Test Case Execution</t>
  </si>
  <si>
    <t>Executed IHA User Admin Registration Test cases</t>
  </si>
  <si>
    <t>Cleanup methods, i was finding which all methods need replacement.</t>
  </si>
  <si>
    <t>Speridian_Admin_BA_TC's</t>
  </si>
  <si>
    <t>Script Modifications</t>
  </si>
  <si>
    <t>Modified Speridian Admin BA Test script Methods and Test Data</t>
  </si>
  <si>
    <t>Executed Speridian Admin BA Test cases</t>
  </si>
  <si>
    <t>FBMC_Admin_BA_TC's</t>
  </si>
  <si>
    <t>Execution of FBMC_Admin_BA Test Cases</t>
  </si>
  <si>
    <t>FBMC Admin_BA Test Cases execution</t>
  </si>
  <si>
    <t>Modified the methods and added new method for clicking on Plan Dropdown for the methods where needed for few TC's
Executed the modified FBMC_ Admin_BA Test cases</t>
  </si>
  <si>
    <t xml:space="preserve">Speridian </t>
  </si>
  <si>
    <t>FBMC_RC_Admin_BA_TCs</t>
  </si>
  <si>
    <t>Execution of FBMC_RC_Admin_BA_Flow</t>
  </si>
  <si>
    <t>Cleanup methods, i was trying to modify the method-ViewCoverage_Page.ClickOnPlanDropdown()</t>
  </si>
  <si>
    <t>changed  ViewCoverage_Page.ClickOnPlanDropdown() and tried executing FBMC_RC_Admin_BA_Flow TC anfd it is not working.</t>
  </si>
  <si>
    <t>IHA,Speridian</t>
  </si>
  <si>
    <t>Content management</t>
  </si>
  <si>
    <t>Added Tiles and image Verification</t>
  </si>
  <si>
    <t>IHA_ContentManagement_EmployeeLanding_Pages_Flow
IHA_ContentManagement_AccountAdminLanding_Pages_Flow
Speridian_ContentManagement_EmployeeLanding_Pages_Flow
Speridian_ContentManagement_AccountAdminLanding_Pages_Flow</t>
  </si>
  <si>
    <t xml:space="preserve">Identified few TC's and Modified the methods and added new method for clicking on Plan Dropdown for the methods where needed. Executed the same.
 Execution of all the Tc's in a single go is in progress. </t>
  </si>
  <si>
    <t>Speridian, IHA</t>
  </si>
  <si>
    <t>Speridian_Admin_BA_TC's
IHA_User_Admin_Registration</t>
  </si>
  <si>
    <t>Script Modifications and 
Execution</t>
  </si>
  <si>
    <t>Executed Speridian Admin BA Test cases and
IHA User Admin Registration Test cases</t>
  </si>
  <si>
    <t>FBMA</t>
  </si>
  <si>
    <t>Business_Rules</t>
  </si>
  <si>
    <t xml:space="preserve">updated TCs as some are failing </t>
  </si>
  <si>
    <t>need to fix FBMC_Terminate_stateofwest_Nondisabledchild_turn26 and FBMC_Terminate_DuvalCounty_Nondisabledchild_turn26</t>
  </si>
  <si>
    <t xml:space="preserve">Execution of all the Tc's in a single go is completed. Few of the Tc's got failed. Have fixed the Tc's; only a couple of them are remaining. Once completed, will execute the failed Tc's once again. (Observed that, reason for failure is, in some scenarios, minor xpath issues and in some application is taking sometime to load.)
</t>
  </si>
  <si>
    <t>Speridian Admin BA Test Cases execution</t>
  </si>
  <si>
    <t>Executed Speridian Admin BA all the Test cases and Modified failed Test cases and Executed. Started Speridian Employee Flow Modifications</t>
  </si>
  <si>
    <t>updated TCs as some are failing and updated some methods</t>
  </si>
  <si>
    <t>Now all TCs are getting passed.</t>
  </si>
  <si>
    <t>Speridian_Employee_Flow</t>
  </si>
  <si>
    <t>Speridian Employee Flow Test Cases execution</t>
  </si>
  <si>
    <t>Speridian Employee Flow Modifications are done. But facing an application issue BA User Review Employee Transactions and Executed FBMC User Admin Registration Flows</t>
  </si>
  <si>
    <t>Fixed and execution of Speridian_RC_Admin_BA_Flow and FBMC_RC_Admin_BA_Flow
FBMC_ReEnrollMedicalFlow</t>
  </si>
  <si>
    <t>Speridian_RC_Admin_BA_Flow and FBMC_RC_Admin_BA_Flow
FBMC_ReEnrollMedicalFlow</t>
  </si>
  <si>
    <t>Modified some places in the TCs and now its working fine.</t>
  </si>
  <si>
    <t>FBMC_Employee_Flow</t>
  </si>
  <si>
    <t>FBMC Employee Flow Test Cases execution</t>
  </si>
  <si>
    <t xml:space="preserve">FBMC Employee Flow Modifications are done. Added required methods, xpath  and Test data. </t>
  </si>
  <si>
    <t xml:space="preserve">Executed the failed flows and only 1 Tc is failing now. Working on to fix that issue. </t>
  </si>
  <si>
    <t>Speridian_User_Admin_Registration_TCs</t>
  </si>
  <si>
    <t>Fixed EnterFirstName() and EnterLastName() as it was adding spl characters sometime.</t>
  </si>
  <si>
    <t>Now need to check the TCs, as TCs are failing i am checking the all Tcs.</t>
  </si>
  <si>
    <t xml:space="preserve">Modified the Effective date, Termination Date and NewEffectiveDate, VerifyEffectiveDate for all the flows as the old dates were throwng errors. 
Execution of the flows with new dates is in progress </t>
  </si>
  <si>
    <t>IHA_Employee_Flow</t>
  </si>
  <si>
    <t>IHA Employee Flow Test 
Cases execution</t>
  </si>
  <si>
    <t xml:space="preserve">IHA Employee Flow Modifications are done. Added required methods, xpath  and Test data. </t>
  </si>
  <si>
    <t>IHA_ContentManagement
FBMC_User_Admin_Registration</t>
  </si>
  <si>
    <t xml:space="preserve">Execution </t>
  </si>
  <si>
    <t>Iha ContentManagement:- 2 test cases fail one the fail Add emplyee page is not working and in one test case Email logs
FBMC_User_Admin_Registration:- 3 test cases is failling</t>
  </si>
  <si>
    <t>Speridian_Content_Management_TCs</t>
  </si>
  <si>
    <t>some methods and package names updated</t>
  </si>
  <si>
    <t>1 TC failed due to email log issue.
Edit Banner is not working for me.
worked on SSN issue as sometimes it is not able to find in the Employee search.</t>
  </si>
  <si>
    <t>FBMC_Admin_BA_TC's
Speridian_UserAdmin_Flow</t>
  </si>
  <si>
    <t xml:space="preserve">Fixed most of the flows affected due to the changes in the application configuration. For some of the flows the number of plans has changed (Eg. FOr Medicare earlier we had 2 plans and now only 1 plan) because of which the ChangePlanMedicareFlow is failing. 
Executed all the scripts with new dates. 21 passed and 12 failed. Fixed those 12 Tc's and the execution of the same in progress.
Fixed the Speridian_UserAdmin_Flows which are getting failed. </t>
  </si>
  <si>
    <t>Speridian
IHA</t>
  </si>
  <si>
    <t>Speridian_Admin_BA
IHA_User_Admin_Registration</t>
  </si>
  <si>
    <t>Speridian Admin flows and IHA User Admin Registration</t>
  </si>
  <si>
    <t>Executed All the Speridian Admin flows 21 passed 5 failed. Fixed failed Test cases and executed.
IHA User Adminstration flow 9 passed 5 failed. Because of Add Employee issue.</t>
  </si>
  <si>
    <t xml:space="preserve">FBMC
</t>
  </si>
  <si>
    <t>FBMC_User_Admin_Registration_TCs</t>
  </si>
  <si>
    <t>FBMC_User_Admin_Registration_TCs
IHA_Content_Management</t>
  </si>
  <si>
    <t>1.FBMC_userprofile_Add_Edit_Delete_CorrespondenceAdmin_Flow:- Failed due to the communication menu is not visible sometimes</t>
  </si>
  <si>
    <t>IHA_Content_Management</t>
  </si>
  <si>
    <t>1.IHA_ContentManagement_Employee_Registration_Notifications_Flow:- Failed due to Add employee flow is not working
IHA_ContentManagement_Documents_AddwordDoc_Flow:- Failed due to null exception error</t>
  </si>
  <si>
    <t>Speridian_User_Admin_Registration_TCs
FBMC_RC_Admin_BA_TCs
Speridian_RC_Admin_BA_TCs</t>
  </si>
  <si>
    <t>RC Admin TCs failed due to enrollment Issue.
Speridian_User_Admin_Registration_TCs--All Test cases passed and placed the report</t>
  </si>
  <si>
    <t>FBMC_User_Admin_Registration
IHA_Content_Management</t>
  </si>
  <si>
    <t>1.IHA_ContentManagement_Employee_Registration_Notifications_Flow:- Failed due to Add employee flow is not working</t>
  </si>
  <si>
    <t>FBMC
IHA</t>
  </si>
  <si>
    <t>FBMC_Admin_BA_TC's
IHA_BrokerManagement</t>
  </si>
  <si>
    <t xml:space="preserve">Executed the 12 TC's which had failed earlier. 10 passed and 2 are blocked due to changes in the Application. Uploaded the Reports in the Test Reports folder
Execution for the IHA_BrokerManagement is completed and the latest reports are uploaded in the Test Reports folder. </t>
  </si>
  <si>
    <t>Speridian
FBMC</t>
  </si>
  <si>
    <t>Speridian_ContentManagement_Banner_Flow
FBMC_Content_Management_Flows
FBMC_EmployeeFlow</t>
  </si>
  <si>
    <t>FBMC Content Management and Empployee flow execution</t>
  </si>
  <si>
    <t>1.Executed All the FBMC Content Management Flows 9 passed 2 failed. Fixed failed Test cases and executed.
2.Executed  Speridian Content Management Banner.
3.Executed FBMC Employee Flow  only QE Enrollment flow failed due to Medical Plan displayed under covered plan</t>
  </si>
  <si>
    <t>Billing and Payments</t>
  </si>
  <si>
    <t>Manual TC design</t>
  </si>
  <si>
    <t>Started writing TCs</t>
  </si>
  <si>
    <t>FBMC_BusinessAutomationRules</t>
  </si>
  <si>
    <t>Execution of FBMC_BusinessAutomationRules Test Cases</t>
  </si>
  <si>
    <t>FBMC_BusinessAutomationRules Test Cases execution</t>
  </si>
  <si>
    <t>Fixed the date issue in FBMC_TerminatePolicy_JacksonHealthSystem_Turns65 and now the medical plan is gettin displayed. But as mentioned in the issues earlier still facing the date issue. (The date is still getting displayed wrongly)</t>
  </si>
  <si>
    <t xml:space="preserve">
FBMC
IHA
Speridian</t>
  </si>
  <si>
    <t>FBMC_Employee_Flow
IHA_Employee_Flow
Speridian_Employee_Flow</t>
  </si>
  <si>
    <t>FBMC, IHA, Speridian Employee flows execution</t>
  </si>
  <si>
    <t>1.Fixed FBMC Employee Flow QE enrollment issue.
2.Connect with Gopi disabled IHA UAT_S1 group settings for Review Employee Transactions.
3.Executed IHA Employee Flow fixed all the xpath issues and added required columns in the Test Data
4.Started Speridian Employee Flow Modification</t>
  </si>
  <si>
    <t>Speridian_ContentManagement_AccountAdminLanding_Pages_Flow
Speridian_ContentManagement_EmployeeLanding_Pages_Flow</t>
  </si>
  <si>
    <t>Speridian_Landing_page</t>
  </si>
  <si>
    <t xml:space="preserve">1.Speridian_ContentManagement_EmployeeLanding_Pages_Flow Failed due to Back ground image is not visible </t>
  </si>
  <si>
    <t>Continued writing TCs</t>
  </si>
  <si>
    <t xml:space="preserve">
IHA
Speridian</t>
  </si>
  <si>
    <t>Speridian_Employee_Flow
IHA_User_Admin_Registration
IHA_ContentManagement</t>
  </si>
  <si>
    <t>IHA, Speridian execution</t>
  </si>
  <si>
    <t>1.Modified Test Script and Executed Speridian Employee Flow 
2.Executed IHA ContentManagement Employee Registration Notifications Flow and IHA User Admin Registration</t>
  </si>
  <si>
    <t>IHA_Admin_BA_TCs</t>
  </si>
  <si>
    <t>IHA_Admin_BA_TCs Execution</t>
  </si>
  <si>
    <t xml:space="preserve">IHA_CascadeScenarioFlow is failing do we have to execute this one? </t>
  </si>
  <si>
    <t>Execution of IHA_Admin_BA_TCs</t>
  </si>
  <si>
    <t>IHA_Admin_BA Test Cases execution</t>
  </si>
  <si>
    <t>Executed the first 10 IHA_Admin_BA_TCs and all are passed.</t>
  </si>
  <si>
    <t>FBMC_BusinessAutomationRules
IHA_Admin_BA_TCs
FBMC_Admin_BA_TCs</t>
  </si>
  <si>
    <t>Execution of FBMC_BusinessAutomationRules, IHA_Admin_BA_TCs,
FBMC_Admin_BA_TCs Test Cases</t>
  </si>
  <si>
    <t>FBMC_BusinessAutomationRules
IHA_Admin_BA_TCs
FBMC_Admin_BA_TCs Test Cases execution</t>
  </si>
  <si>
    <t xml:space="preserve">Updated the IHA_Admin_BA_TCs Execution time in the Sheet.
Executed the Business Automation Rules TCs, and all are results are same as earlier except for the Existing issues. Will upload the Test Reports in the Folder. 
Execution of the FBMC failed TC's is in Progress. </t>
  </si>
  <si>
    <t>The image does not come as a full-screen background image.
And not able to click on all the tiles</t>
  </si>
  <si>
    <t xml:space="preserve">Worked on Landing page </t>
  </si>
  <si>
    <t>Worked on Admin landing page and Employee landing page</t>
  </si>
  <si>
    <t>FBMC
IHA
Speridian</t>
  </si>
  <si>
    <t>FBMC_Smoke_Test_Flow
IHA_Smoke_Test_Flow
Speridian_Smoke_Test_Flow</t>
  </si>
  <si>
    <t>Creation of new Scripts for Smoke Test Cases</t>
  </si>
  <si>
    <t>FBMC, IHA, Speridian Smoke Testcase Creation and Execution</t>
  </si>
  <si>
    <t xml:space="preserve">Creation of New Test scripts and methods for FBMC, Speridian and IHA Tenants. Created new sheet in the Test Data. Added reuired rows and columns. </t>
  </si>
  <si>
    <t>FBMC_Billpay_NewEmployee</t>
  </si>
  <si>
    <t>Need to check couple of queries with Saran</t>
  </si>
  <si>
    <t>FBMC_AccountSummary_Smoke_Test</t>
  </si>
  <si>
    <t>Completed FBMC, Speridian and IHA Tenants Smoke Test Cases. Started Creation of new scripts for FBMC AccountSummary Smoke Test Cases</t>
  </si>
  <si>
    <t>FBMC_BillingAndPayments</t>
  </si>
  <si>
    <t>Creation of new Scripts for FBMC_BillingAndPayments</t>
  </si>
  <si>
    <t>Started scripting for FBMC_BillingAndPayments Test cases.</t>
  </si>
  <si>
    <t>FBMC_Smoke_Test</t>
  </si>
  <si>
    <t>FBMC Smoke Test creation and Execution</t>
  </si>
  <si>
    <t xml:space="preserve">Added Account Summary scripts in FBMC Smoke Test Scripts. Completed and Executed FBMC smoke Test cases. Go through the KT recordings </t>
  </si>
  <si>
    <t>Started scripting for FBMC_BillingAndPayments TerminateFlow(Dental), QEFlow</t>
  </si>
  <si>
    <t>Gone through the TC and modified some steps.</t>
  </si>
  <si>
    <t>working on Billing &amp; Payments-planVerification method</t>
  </si>
  <si>
    <t>Trying to modify planVerification()</t>
  </si>
  <si>
    <t>Created and Executed 
change plan/ Rate flow</t>
  </si>
  <si>
    <t>Started scripting for FBMC_BillingAndPayments Change Plan / Rate Test cases.</t>
  </si>
  <si>
    <t>Started scripting for FBMC_BillingAndPayments RenEnrollFlow</t>
  </si>
  <si>
    <t xml:space="preserve">Scripting for FBMC_BillingAndPayments Change Plan and Change coverage amt flow </t>
  </si>
  <si>
    <r>
      <rPr>
        <sz val="11"/>
        <color rgb="FF000000"/>
        <rFont val="Calibri"/>
      </rPr>
      <t xml:space="preserve">Scripting for FBMC_BillingAndPayments </t>
    </r>
    <r>
      <rPr>
        <b/>
        <sz val="11"/>
        <color rgb="FF000000"/>
        <rFont val="Calibri"/>
      </rPr>
      <t>QE Enrollment flow</t>
    </r>
  </si>
  <si>
    <t>Created and Executed  Make Current Balance Payment and Payment History</t>
  </si>
  <si>
    <t>Started scripting for FBMC_BillingAndPayments  Make Current Balance Payment and Payment History Test cases.</t>
  </si>
  <si>
    <t>overloaded  planVerification() and tested for 2 flows and working fine.</t>
  </si>
  <si>
    <t>working on validations.</t>
  </si>
  <si>
    <t>Complete scripting for the FBMC_BillingAndPayments QE Enrollment flow (I am selecting Medicare Advantage and Part D because we do not have plans available inside Medicare Part D).</t>
  </si>
  <si>
    <t>Created and Executed Make Other Amount Payment and Make Over paid Amount</t>
  </si>
  <si>
    <t>Started scripting for FBMC_BillingAndPayments  Make Other Amount Payment and Make Over paid Amount</t>
  </si>
  <si>
    <t>Started scripting for FBMC_BillingAndPayments VoidPayment, TerminateEmployee and ReinstateEmployee</t>
  </si>
  <si>
    <t>Creation of a new Validation method</t>
  </si>
  <si>
    <t>Working on validation part</t>
  </si>
  <si>
    <t>Scripting in progress for FBMC_BillingAndPayments VoidPayment, TerminateEmployee and ReinstateEmployee</t>
  </si>
  <si>
    <t>Added new validations for TerminatePlanFlow and QEFlow</t>
  </si>
  <si>
    <t>Added new validation methods and Xpaths for 
ChangePlan / Rate and Gothough the Recordings</t>
  </si>
  <si>
    <t>Validation part</t>
  </si>
  <si>
    <t xml:space="preserve">Working on validation part for (Update Covered Members)Add Spouse, Flow </t>
  </si>
  <si>
    <t>Writing TCs for Billing and Payments by going through the KT Recordings.</t>
  </si>
  <si>
    <t>FBMC_Billpay_NewEmployee and BillPay_PensionAuthority_VendorACH_Reconciliation</t>
  </si>
  <si>
    <t>Writing Manual TCs from 2nd KT Session.</t>
  </si>
  <si>
    <t xml:space="preserve">Worked on validation part for  "Change coverage amt, Change Plan, QE Enrollment "Flow </t>
  </si>
  <si>
    <t>Modified the new validations for TerminatePlanFlow and QEFlow and started adding validations for ReEnroll Flow</t>
  </si>
  <si>
    <t>Modified Validation method for ChangePlan / Rate and Started Modification Make Current Balance Payment facing issue in the get current balance</t>
  </si>
  <si>
    <t>Fixing current balance pay flow.</t>
  </si>
  <si>
    <t>Writing Manual TCs from 2nd KT Session.
and also worked on Fixing current balance pay flow.</t>
  </si>
  <si>
    <t>BillPay_PensionAuthority_VendorACH_Reconciliation</t>
  </si>
  <si>
    <t>Pending</t>
  </si>
  <si>
    <t>Modified Scripts for FBMC_BillingAndPayments</t>
  </si>
  <si>
    <t>Modified Validation method for getCurrentBalance and Executed Make Current Balance Payment, Make Other Amount Payment, Make Over paid Amount flows</t>
  </si>
  <si>
    <t>Added validations for ReEnroll Flow and TerminateEmployeeFlow</t>
  </si>
  <si>
    <t>Fixed current balance pay flow.</t>
  </si>
  <si>
    <t xml:space="preserve">FBMC_Billpay_NewEmployee </t>
  </si>
  <si>
    <t>Worked on Fixing current balance pay flow and now it is working .</t>
  </si>
  <si>
    <t xml:space="preserve">Added Validation methods getACurrentBalanceBeforePay,  getCurrentBalanceAfterPay, validateDepositamount and Executed Make Current Balance Payment, Make Other Amount Payment, Make Over paid Amount flows </t>
  </si>
  <si>
    <t>Modified validations for Terminate Employee Flow. Working getting a validation logic for the Terminate EMployee and ReInstate Flow</t>
  </si>
  <si>
    <t>Working on Terminate Employee validations.</t>
  </si>
  <si>
    <t>Modified validations for VoidPaymentFlow and Pulled the latest code from the Master, fixed the Conflicts, and Pushed the code.</t>
  </si>
  <si>
    <t>Worked on Cash Ledger check flow and now it is working .</t>
  </si>
  <si>
    <t>Modified the Scripts based on Asif and mine latest code changes fix the issues and Executed working fine. fetchPlanAmount method only taking time</t>
  </si>
  <si>
    <t>Worked on Terminate Employee validations.</t>
  </si>
  <si>
    <t>Completed on Terminate Employee validations for different scenarios.</t>
  </si>
  <si>
    <t>FBMC_Admin_BA_TCs</t>
  </si>
  <si>
    <t>Creation of new Scripts for FBMC_Admin_BA_TCs</t>
  </si>
  <si>
    <t>Started Creation of new Scripts for FBMC_CombinedFlow, Added new Test Data</t>
  </si>
  <si>
    <t>IHA_CombinedFlow</t>
  </si>
  <si>
    <t>Creation of new Scripts for IHA_CombinedFlow</t>
  </si>
  <si>
    <t>Started Creation of new Scripts for IHA_CombinedFlow and Added columns &amp; rows in the Testdata sheet</t>
  </si>
  <si>
    <t>Working on Refund Center &amp; Refund Center--Manual Approval Process flow.</t>
  </si>
  <si>
    <t>Working  on Reinstate Employee validations.</t>
  </si>
  <si>
    <t>Working on Terminate Employee validations for different scenarios.</t>
  </si>
  <si>
    <t>Adding new validation methods for FBMC_CombinedFlow.</t>
  </si>
  <si>
    <t>Worked on the Accounts Payable flow and I have run the entire script and it is working fine.</t>
  </si>
  <si>
    <t>Cascade scenario flow facing an application issue connect with Gopi and Send an Email Got the new group UAT_S2 now cascade scenario flow working fine</t>
  </si>
  <si>
    <t>Worked  on Reinstate Employee validations.</t>
  </si>
  <si>
    <t>Modified and Executed IHA_CombinedFlow. Enrollment Page Added Validation for 
selectPlans method and Modified verifyCoverageEndDateAfterReHire method</t>
  </si>
  <si>
    <t>Scripting in progress for the FBMC_CombinedFlow</t>
  </si>
  <si>
    <t>Worked  on Entire flow execution of Billing and Payments.
review on IHA combined flow</t>
  </si>
  <si>
    <t>Code commited.
Passed review comments.</t>
  </si>
  <si>
    <t>Worked on the Update Covered Member flow and Terminate Plan Flow. it is working fine.</t>
  </si>
  <si>
    <t>Speridian_CombinedFlow</t>
  </si>
  <si>
    <t>Creation of new Scripts for Speridian_CombinedFlow</t>
  </si>
  <si>
    <t>Started Creation of new Scripts for Speridian_CombinedFlow. Executed IHA_CombindFlow Admin, BA TCs working fine.
Created new BA user for IHA Tenant UAT_S2 group</t>
  </si>
  <si>
    <t>Scripting Completed for Cascade Scenario, Update Covered Members, Terminate Plan, and Rest is in progress for the FBMC_CombinedFlow</t>
  </si>
  <si>
    <t>Executed BillPay_PensionAuthority_VendorACH_Reconciliation</t>
  </si>
  <si>
    <t>LastMonthDate() was failing to fetch date in required format</t>
  </si>
  <si>
    <t>updated method and now it is working fine.</t>
  </si>
  <si>
    <t>Scripting Completed for Correspondence Letters, ReEnroll Flow, QE Enrollment Flow and Rest is in progress for the FBMC_CombinedFlow</t>
  </si>
  <si>
    <t>FBMC and IHA Employee</t>
  </si>
  <si>
    <t>Modified the Employee flow Test Scripts</t>
  </si>
  <si>
    <t>Modified FBMC, IHA and Speridian Employee flow Test Scripts and Added required columns in Test Data sheet. Executed FBMC and IHA Employee flows working fine.</t>
  </si>
  <si>
    <t>Speridian_Admin_BA_TCs</t>
  </si>
  <si>
    <r>
      <rPr>
        <sz val="11"/>
        <color rgb="FF000000"/>
        <rFont val="Calibri"/>
      </rPr>
      <t xml:space="preserve">Worked on the </t>
    </r>
    <r>
      <rPr>
        <b/>
        <sz val="11"/>
        <color rgb="FF000000"/>
        <rFont val="Calibri"/>
      </rPr>
      <t>ReEnroll Plan</t>
    </r>
    <r>
      <rPr>
        <sz val="11"/>
        <color rgb="FF000000"/>
        <rFont val="Calibri"/>
      </rPr>
      <t xml:space="preserve"> , </t>
    </r>
    <r>
      <rPr>
        <b/>
        <sz val="11"/>
        <color rgb="FF000000"/>
        <rFont val="Calibri"/>
      </rPr>
      <t>Change Coverage Amount</t>
    </r>
    <r>
      <rPr>
        <sz val="11"/>
        <color rgb="FF000000"/>
        <rFont val="Calibri"/>
      </rPr>
      <t xml:space="preserve"> , </t>
    </r>
    <r>
      <rPr>
        <b/>
        <sz val="11"/>
        <color rgb="FF000000"/>
        <rFont val="Calibri"/>
      </rPr>
      <t>Enroll and Maintainenece with Rate Edit Plan</t>
    </r>
    <r>
      <rPr>
        <sz val="11"/>
        <color rgb="FF000000"/>
        <rFont val="Calibri"/>
      </rPr>
      <t xml:space="preserve"> and </t>
    </r>
    <r>
      <rPr>
        <b/>
        <sz val="11"/>
        <color rgb="FF000000"/>
        <rFont val="Calibri"/>
      </rPr>
      <t>Terminate Employee</t>
    </r>
  </si>
  <si>
    <t>Creation of Scripts for Speridian_CombinedFlow</t>
  </si>
  <si>
    <r>
      <rPr>
        <sz val="11"/>
        <color rgb="FF000000"/>
        <rFont val="Calibri"/>
      </rPr>
      <t xml:space="preserve">Worked on the </t>
    </r>
    <r>
      <rPr>
        <b/>
        <sz val="11"/>
        <color rgb="FF000000"/>
        <rFont val="Calibri"/>
      </rPr>
      <t>ReHire and Enroll</t>
    </r>
    <r>
      <rPr>
        <sz val="11"/>
        <color rgb="FF000000"/>
        <rFont val="Calibri"/>
      </rPr>
      <t xml:space="preserve"> and </t>
    </r>
    <r>
      <rPr>
        <b/>
        <sz val="11"/>
        <color rgb="FF000000"/>
        <rFont val="Calibri"/>
      </rPr>
      <t>ReInstate</t>
    </r>
  </si>
  <si>
    <t>Speridian Employee</t>
  </si>
  <si>
    <t>Modified Speridian Employee flow Test Scripts and Added required columns in Test Data sheet. Executed Speridian Employee flows working fine.</t>
  </si>
  <si>
    <t>Billing &amp; Payments</t>
  </si>
  <si>
    <t>working on Plan verification Method</t>
  </si>
  <si>
    <t>Modified logic of PlanVerification() method but need to test all scenarios.</t>
  </si>
  <si>
    <t>Modified logic of PlanVerification() methodits working for all scenarios.</t>
  </si>
  <si>
    <t>Scripting Completed for Correspondence Letters, TerminateEMployee, ReInstate and Rest is in progress for the FBMC_CombinedFlow</t>
  </si>
  <si>
    <t>Modified and Executed the Test Script</t>
  </si>
  <si>
    <t>Modified and Executed FBMC_Billpay_NewEmployee flow Test Script
Added waitforpageload and ScrollDown method</t>
  </si>
  <si>
    <t>working on Terminate verification Method</t>
  </si>
  <si>
    <t>Modified logic of Terminate Verification() methods and it is failing for some scenarios.
Terminate Employee not working sometimes
Rinstate Employee not working sometimes</t>
  </si>
  <si>
    <t xml:space="preserve">Worked on fixing the issue in the FBMC_CombinedFlow. </t>
  </si>
  <si>
    <t>Executing the scripts</t>
  </si>
  <si>
    <t>Speridian_Combinde_Flow</t>
  </si>
  <si>
    <t>Execute the script it takes 25 min without Casecsase scenario</t>
  </si>
  <si>
    <t xml:space="preserve">Modified and Executed FBMC_Billpay_NewEmployee flow Test Script
Added Termination Date in Test Data </t>
  </si>
  <si>
    <t>worked on Terminate verification Method</t>
  </si>
  <si>
    <t>Modified logic of Terminate Verification() methods and it is failing for some scenarios.
Fixed Terminate Employee and working fine
Fixed  Rinstate Employee now working fine</t>
  </si>
  <si>
    <t xml:space="preserve">Fixed the issue and execution is in-progress for the FBMC_CombinedFlow. </t>
  </si>
  <si>
    <t>Modified and Executed FBMC_Billpay_NewEmployee Test Script flows QE Enrollment, ReEnroll Dental and cash ledger resolved the validations issue based on the Test data dates</t>
  </si>
  <si>
    <t>Execute the script it takes 128 min without Casecsase scenario</t>
  </si>
  <si>
    <t>worked on random SSN</t>
  </si>
  <si>
    <t>Random SSN</t>
  </si>
  <si>
    <r>
      <rPr>
        <sz val="11"/>
        <color rgb="FF000000"/>
        <rFont val="Calibri"/>
        <scheme val="minor"/>
      </rPr>
      <t xml:space="preserve">
</t>
    </r>
    <r>
      <rPr>
        <sz val="11"/>
        <color rgb="FF000000"/>
        <rFont val="Calibri"/>
        <scheme val="minor"/>
      </rPr>
      <t>Fixed Random SSN and working fine
Fixed  Terminate Employee in Speridian combined flow and now working fine</t>
    </r>
  </si>
  <si>
    <t>Executed the FBMC_CombinedFlow and it is taking 20 mins without Cadcase Scenario Flow.
Fixed the terminatePlanValidation used in BillingAndPaymentsFlow</t>
  </si>
  <si>
    <t>Modified and Executed FBMC_Billpay_NewEmployee Test Script flows
Fixed most of the issues in the validstion part. Everything working fine. Full execution only Pending.</t>
  </si>
  <si>
    <t>Fixed the QEValidation and ReEnrollValidation methods used in BillingAndPaymentsFlow</t>
  </si>
  <si>
    <t xml:space="preserve">L_SearchButton  xpath was not working from Cash_Ledger_Page.java as it was not working
2. added condition for select plan under ChangeCoverageAmount()
3. fixed medical bridge in selectfourPlans()
4. optimized fetchPlanAmount() as it was taking quite long time to fetch amount from plan </t>
  </si>
  <si>
    <r>
      <rPr>
        <sz val="11"/>
        <color rgb="FF000000"/>
        <rFont val="Calibri"/>
        <scheme val="minor"/>
      </rPr>
      <t xml:space="preserve">Worked on the </t>
    </r>
    <r>
      <rPr>
        <b/>
        <sz val="11"/>
        <color rgb="FF000000"/>
        <rFont val="Calibri"/>
        <scheme val="minor"/>
      </rPr>
      <t>Cash Ledger check</t>
    </r>
    <r>
      <rPr>
        <sz val="11"/>
        <color rgb="FF000000"/>
        <rFont val="Calibri"/>
        <scheme val="minor"/>
      </rPr>
      <t xml:space="preserve">, </t>
    </r>
    <r>
      <rPr>
        <b/>
        <sz val="11"/>
        <color rgb="FF000000"/>
        <rFont val="Calibri"/>
        <scheme val="minor"/>
      </rPr>
      <t>Refund Center--</t>
    </r>
    <r>
      <rPr>
        <sz val="11"/>
        <color rgb="FF000000"/>
        <rFont val="Calibri"/>
        <scheme val="minor"/>
      </rPr>
      <t xml:space="preserve">, </t>
    </r>
    <r>
      <rPr>
        <b/>
        <sz val="11"/>
        <color rgb="FF000000"/>
        <rFont val="Calibri"/>
        <scheme val="minor"/>
      </rPr>
      <t>Refund Center--Manual Approval Process</t>
    </r>
    <r>
      <rPr>
        <sz val="11"/>
        <color rgb="FF000000"/>
        <rFont val="Calibri"/>
        <scheme val="minor"/>
      </rPr>
      <t xml:space="preserve"> working fine. Full execution only Pending.</t>
    </r>
  </si>
  <si>
    <t xml:space="preserve">Modified and Executed FBMC_Billpay_NewEmployee Test Script flows
Fixed the issues. Added ChangePlandropdown methods, Reinstiate flow ok popup issue, Terminate Employee instead of search with </t>
  </si>
  <si>
    <t>worked on failed flows and fixed and now 2 tcs working fine.</t>
  </si>
  <si>
    <t>IHA Admin BA TCs</t>
  </si>
  <si>
    <t>Executed IHA_Admin_BA_TCs all the flows and combined flows. failed some of the flows. fixing failed flows.</t>
  </si>
  <si>
    <t>Execution of Scripts</t>
  </si>
  <si>
    <t>Executed the FBMC_CombinedFlow and it is taking 21 mins</t>
  </si>
  <si>
    <t>IHA_User_Admin_Registration_TCs</t>
  </si>
  <si>
    <t>Execution of scripts</t>
  </si>
  <si>
    <t>scrpt execution and fixing failed ones</t>
  </si>
  <si>
    <t xml:space="preserve">Executed IHA_BrokerManagement and IHA_Transactions. Both are failing due to application issues. Sent an email for the same. </t>
  </si>
  <si>
    <t>FBMC_EmployeeFlow</t>
  </si>
  <si>
    <t>Modified and Executed FBMC_EmployeeFlow and IHA_ContentManagement_SectionTitle_Edit_AddWorddoc_Flow</t>
  </si>
  <si>
    <t>FBMC_Business_Automation_Rules</t>
  </si>
  <si>
    <t>total test cases = 11
Pass TCs= 2
Failed TCs=  9
Failed reason =
1. All scripts failling at termination Date Validation
Total execution time is 45 min</t>
  </si>
  <si>
    <t>FBMC_User_Admin_Registration</t>
  </si>
  <si>
    <t>Modified and Executed FBMC_User_Admin_Registration total 7 testcases 3 pass 4 fail. Facing an application issue sent an email. working on failed Testcases</t>
  </si>
  <si>
    <t>Executed FBMC_User_Admin_Registration and IHA_Admin_BA_TCs</t>
  </si>
  <si>
    <t>Executed and Completed IHA_Admin_BA_TCs</t>
  </si>
  <si>
    <t>fixing the failed ones</t>
  </si>
  <si>
    <t>Speridian_Employee_TCs</t>
  </si>
  <si>
    <t>Completed
There we have only 1 TC it's working fine I have already uploaded the execution report.</t>
  </si>
  <si>
    <t>IHA, Speridian</t>
  </si>
  <si>
    <t>Speridian_ContentManagementFlow</t>
  </si>
  <si>
    <t>Executed and Completed IHA_EmployeeFlow and working on Speridian_ContentManagementFlow 6 pass 3 fail</t>
  </si>
  <si>
    <t>FBMC_ContentManagement</t>
  </si>
  <si>
    <t>Working on the FBMC_Admin_BA_TCs</t>
  </si>
  <si>
    <t>Speridian, FBMC</t>
  </si>
  <si>
    <t>Executed and Completed Speridian_ContentManagementFlow and Started FBMC_RC_Admin_BA_Flow</t>
  </si>
  <si>
    <t xml:space="preserve">Fixed and executed the FBMC_Admin_BA_TCs, all are working fine. Uploaded the Reports in the Drive Location. </t>
  </si>
  <si>
    <t>FBMC_RC_Employee_Flow</t>
  </si>
  <si>
    <t>Working on the FBMC_RC_Employee_Flow</t>
  </si>
  <si>
    <t>FBMC_RC_Admin_BA_Flow</t>
  </si>
  <si>
    <t>Executed and Completed FBMC_RC_Admin_BA_Flow and Executed FBMC_ContentManagement_Administratiors_CopyBanner_Flow
FBMC_ContentManagement_Employee_Banner_Flow</t>
  </si>
  <si>
    <t>Modified and Executed IHA_Combined_Flow and Check with Open Enrollment Issue in the FBMC and IHA RC Employee Flows</t>
  </si>
  <si>
    <t>Modified and Executed FBMC_Business_Automation_Rules FBMC_TerminatePolicy_LakeSumter_BasicADandD_Turns70 flow and Renewal Center Flow and Executed Speridian_Combined_Flow</t>
  </si>
  <si>
    <t>Rule</t>
  </si>
  <si>
    <t>Group</t>
  </si>
  <si>
    <t>Terminate Non disabled child dependent on turning 26</t>
  </si>
  <si>
    <t>Duval County Public Schools</t>
  </si>
  <si>
    <t>Medical, Dental, Vision</t>
  </si>
  <si>
    <t>State of West Virginia</t>
  </si>
  <si>
    <t>Dental, Vision, Hearing</t>
  </si>
  <si>
    <t>Terminate Policy if member turns 65  and send notification</t>
  </si>
  <si>
    <t>Jackson Health System</t>
  </si>
  <si>
    <t>Medical</t>
  </si>
  <si>
    <t xml:space="preserve">Terminate Policy if member turns 65 on 30 sept </t>
  </si>
  <si>
    <t>Hospital Indemnity</t>
  </si>
  <si>
    <t>Terminate Policy in previous month when spouse turns 70</t>
  </si>
  <si>
    <t>Putnam County School District</t>
  </si>
  <si>
    <t>Term Life Spouse</t>
  </si>
  <si>
    <t>Change Rate in previous month when member turns 70 or 75</t>
  </si>
  <si>
    <t>Term Life</t>
  </si>
  <si>
    <t>Flagler County Public Schools</t>
  </si>
  <si>
    <t>Coverage amount and rate reduction</t>
  </si>
  <si>
    <t>Florida Key</t>
  </si>
  <si>
    <t>Supplemental Life and AD&amp;D, Supplemental Life</t>
  </si>
  <si>
    <t>Terminate Policy if member turns 70</t>
  </si>
  <si>
    <t>Lake Sumter</t>
  </si>
  <si>
    <t>Basic AD&amp;D</t>
  </si>
  <si>
    <t>Coverage amount Change Life Benefit Reduction</t>
  </si>
  <si>
    <t>Daytona</t>
  </si>
  <si>
    <t>Supplemental Life</t>
  </si>
  <si>
    <t>Manatee Sarasota</t>
  </si>
  <si>
    <t>AD &amp; D</t>
  </si>
  <si>
    <t>Scenario/Flow</t>
  </si>
  <si>
    <t>Test Status</t>
  </si>
  <si>
    <t>QA Comments</t>
  </si>
  <si>
    <t>Assignee</t>
  </si>
  <si>
    <t>count</t>
  </si>
  <si>
    <t>TPA LOGIN</t>
  </si>
  <si>
    <t>Tenant Dashboard</t>
  </si>
  <si>
    <t>Group Dashboard</t>
  </si>
  <si>
    <t>Add Employee</t>
  </si>
  <si>
    <t>Activate employee</t>
  </si>
  <si>
    <t>N</t>
  </si>
  <si>
    <t>Submit employee</t>
  </si>
  <si>
    <t>Activate and Enroll Employee</t>
  </si>
  <si>
    <t>Decline all coverage</t>
  </si>
  <si>
    <t>Y</t>
  </si>
  <si>
    <t>Terminate Medical</t>
  </si>
  <si>
    <t>Terminate Medicare</t>
  </si>
  <si>
    <t>Terminate Ancillary</t>
  </si>
  <si>
    <t>Summary Verification</t>
  </si>
  <si>
    <t>View benefits and SBC</t>
  </si>
  <si>
    <t>CC Letter verification</t>
  </si>
  <si>
    <t>Not Started</t>
  </si>
  <si>
    <t>Renroll Medical</t>
  </si>
  <si>
    <t>Renroll Medicare</t>
  </si>
  <si>
    <t>Reenroll Ancillary</t>
  </si>
  <si>
    <t>Change Plan Medical</t>
  </si>
  <si>
    <t>Change Plan Medicare</t>
  </si>
  <si>
    <t>Change Plan Ancillary</t>
  </si>
  <si>
    <t>Change coverage amount</t>
  </si>
  <si>
    <t>In Progress</t>
  </si>
  <si>
    <t>Enroll and maintenance with Rate edit plan</t>
  </si>
  <si>
    <t>QE on Medical</t>
  </si>
  <si>
    <t>QE Medicare</t>
  </si>
  <si>
    <t>QE Ancillary</t>
  </si>
  <si>
    <t>Update covered Members -  Medical</t>
  </si>
  <si>
    <t>Update covered Members -  Ancillary</t>
  </si>
  <si>
    <t>Terminate Employee</t>
  </si>
  <si>
    <t>Employe Rehire &amp;Enroll</t>
  </si>
  <si>
    <t>Reinstate employee</t>
  </si>
  <si>
    <t>Load &amp;Enrollment Roster</t>
  </si>
  <si>
    <t>Terminate Roster</t>
  </si>
  <si>
    <t>Payment Profile Roster</t>
  </si>
  <si>
    <t>Reports (Create, View and Export)</t>
  </si>
  <si>
    <t>Cascade Scenario (Class, Sub group, Address change, DOB,Medicare flag, Dependent add or remove)</t>
  </si>
  <si>
    <t>Policy Setup</t>
  </si>
  <si>
    <t>Policy Info</t>
  </si>
  <si>
    <t>Group preferance(effective date, termination date)</t>
  </si>
  <si>
    <t>Retro enrollment with retro period</t>
  </si>
  <si>
    <t>Retro termination with retro period</t>
  </si>
  <si>
    <t>Request online access</t>
  </si>
  <si>
    <t>Send Enrollment Notification</t>
  </si>
  <si>
    <t>Reset Password</t>
  </si>
  <si>
    <t>Lock and rate</t>
  </si>
  <si>
    <t>TC  ID</t>
  </si>
  <si>
    <t>Test Case Description</t>
  </si>
  <si>
    <t>Automation Status</t>
  </si>
  <si>
    <t>TC001</t>
  </si>
  <si>
    <t>Sign In</t>
  </si>
  <si>
    <t>User Navigate to Sign In Page</t>
  </si>
  <si>
    <t>Pass</t>
  </si>
  <si>
    <t>TC002</t>
  </si>
  <si>
    <t>User Navigate to Tenant Dashboard Page</t>
  </si>
  <si>
    <t>TC003</t>
  </si>
  <si>
    <t>Account Dashboard</t>
  </si>
  <si>
    <t>User Navigate to Account Dashboard Page</t>
  </si>
  <si>
    <t>TC004</t>
  </si>
  <si>
    <t>User Navigate to Add Employee Page</t>
  </si>
  <si>
    <t>TC005</t>
  </si>
  <si>
    <t>Activate Employee</t>
  </si>
  <si>
    <t>User Navigate to Activate Employee Page</t>
  </si>
  <si>
    <t>TC006</t>
  </si>
  <si>
    <t>Submit Employee</t>
  </si>
  <si>
    <t>User Navigate to Submit Employee Page</t>
  </si>
  <si>
    <t>TC007</t>
  </si>
  <si>
    <t>User Navigate to Activate and Enroll Employee Page</t>
  </si>
  <si>
    <t>TC008</t>
  </si>
  <si>
    <t>Decline All Coverage</t>
  </si>
  <si>
    <t>User Navigate to Decline All Coverage page</t>
  </si>
  <si>
    <t>TC009</t>
  </si>
  <si>
    <t>User Navigate to Terminate Medical Page</t>
  </si>
  <si>
    <t>TC010</t>
  </si>
  <si>
    <t>User Navigate to View Summary Page</t>
  </si>
  <si>
    <t>TC011</t>
  </si>
  <si>
    <t>ReEnroll Medical</t>
  </si>
  <si>
    <t>User Navigate to ReEnroll Medical Page</t>
  </si>
  <si>
    <t>TC012</t>
  </si>
  <si>
    <t>User Navigate to Change Plan Medical Page</t>
  </si>
  <si>
    <t>TC013</t>
  </si>
  <si>
    <t>User Navigate to QE Medical Page</t>
  </si>
  <si>
    <t>TC014</t>
  </si>
  <si>
    <t>User Navigate to Update covered Members  -  Medical Page</t>
  </si>
  <si>
    <t>TC015</t>
  </si>
  <si>
    <t>User Navigate to Terminate Employee Page</t>
  </si>
  <si>
    <t>TC016</t>
  </si>
  <si>
    <t>Employee Rehire &amp; Enroll</t>
  </si>
  <si>
    <t>User Navigate to Employee Rehire &amp; Enroll Page</t>
  </si>
  <si>
    <t>TC017</t>
  </si>
  <si>
    <t>User Navigate to Reinstate Employee Page</t>
  </si>
  <si>
    <t>pass</t>
  </si>
  <si>
    <t>TC018</t>
  </si>
  <si>
    <t>Cascade Scenario 
(Class, Sub group, Address change, DOB,Medicare flag, Dependent add or remove)</t>
  </si>
  <si>
    <t>User Navigate to Cascade Scenario Page</t>
  </si>
  <si>
    <t>TC019</t>
  </si>
  <si>
    <t>User Navigate to Retro enrollment 
with retro period Page</t>
  </si>
  <si>
    <t>Need to work</t>
  </si>
  <si>
    <t>TC020</t>
  </si>
  <si>
    <t>User Navigate to Retro termination 
with retro period</t>
  </si>
  <si>
    <t>TC021</t>
  </si>
  <si>
    <t>IHA_combined_flows</t>
  </si>
  <si>
    <t>IHA-Status</t>
  </si>
  <si>
    <t>User Navigate to Login Page</t>
  </si>
  <si>
    <t>User Navigate to Terminate Ancillary Page</t>
  </si>
  <si>
    <t>User Navigate to View benefits and SBC</t>
  </si>
  <si>
    <t>ReEnroll Ancillary</t>
  </si>
  <si>
    <t>User Navigate to ReEnroll Ancillary Page</t>
  </si>
  <si>
    <t>User Navigate to Change Plan Ancillary Page</t>
  </si>
  <si>
    <t>User Navigate to Change coverage amount Page</t>
  </si>
  <si>
    <t>Change Coverage ammout button not visible(it’s an configuration issue in Speridian UAT only for Voluntary term life plan)</t>
  </si>
  <si>
    <t>User Navigate to Enroll and maintenance 
with Rate edit plan Page</t>
  </si>
  <si>
    <t>User Navigate to QE Ancillary Page</t>
  </si>
  <si>
    <t>speridian_Status</t>
  </si>
  <si>
    <t>TC022</t>
  </si>
  <si>
    <t>User Navigate to Update covered Members  -  Ancillary Page</t>
  </si>
  <si>
    <t>TC023</t>
  </si>
  <si>
    <t>TC024</t>
  </si>
  <si>
    <t>TC025</t>
  </si>
  <si>
    <t>TC026</t>
  </si>
  <si>
    <t>TC027</t>
  </si>
  <si>
    <t>TC028</t>
  </si>
  <si>
    <t>TC029</t>
  </si>
  <si>
    <t>ValidateCombinedFlows</t>
  </si>
  <si>
    <t>Employee Registration and Enrollment notification</t>
  </si>
  <si>
    <t>User Navigate to Employee Registration and Enrollment notification Page</t>
  </si>
  <si>
    <t>Pending we will pick later</t>
  </si>
  <si>
    <t>Add and Edit Beneficiary</t>
  </si>
  <si>
    <t>User Navigate to Add and Edit Beneficiary Page</t>
  </si>
  <si>
    <t>Enroll employee</t>
  </si>
  <si>
    <t xml:space="preserve">we navigate to support user login , search for the BA user and proceed ahead the Review Employee Transactions, Search for the Employee using SSN or FirstName  facing Page Load issue </t>
  </si>
  <si>
    <t>Reenroll Medical</t>
  </si>
  <si>
    <t>Cascade Scenario</t>
  </si>
  <si>
    <t>IHA_Emp_001</t>
  </si>
  <si>
    <t>Parked aside as some changes from Dev is In-Progress</t>
  </si>
  <si>
    <t>Enroll employee(Enrolled Employee)</t>
  </si>
  <si>
    <t>N/A</t>
  </si>
  <si>
    <t>User Navigate to Group Dashboard Page</t>
  </si>
  <si>
    <t>User Navigate to Terminate Medicare Page</t>
  </si>
  <si>
    <t>User Navigate to CC Letter verification Page</t>
  </si>
  <si>
    <t>ReEnroll Medicare</t>
  </si>
  <si>
    <t>User Navigate to ReEnroll Medicare Page</t>
  </si>
  <si>
    <t>User Navigate to Change Plan Medicare Page</t>
  </si>
  <si>
    <t>Parked aside. Script is failing due to application configuration issues.</t>
  </si>
  <si>
    <t>Fail</t>
  </si>
  <si>
    <t>User Navigate to QE Medicare Page</t>
  </si>
  <si>
    <t>TC030</t>
  </si>
  <si>
    <t>TC031</t>
  </si>
  <si>
    <t>TC032</t>
  </si>
  <si>
    <t>TC033</t>
  </si>
  <si>
    <t>TC034</t>
  </si>
  <si>
    <t>FBMC_combined_flows</t>
  </si>
  <si>
    <t>User performs multiple transactions</t>
  </si>
  <si>
    <t>1 hrs 50 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</si>
</sst>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sz val="11"/>
      <color theme="1"/>
      <name val="Calibri"/>
      <scheme val="minor"/>
    </font>
    <font>
      <b/>
      <sz val="11"/>
      <color theme="1"/>
      <name val="Calibri"/>
      <family val="2"/>
      <scheme val="minor"/>
    </font>
    <font>
      <sz val="11"/>
      <color rgb="FF000000"/>
      <name val="Calibri"/>
      <charset val="1"/>
    </font>
    <font>
      <b/>
      <sz val="10"/>
      <color theme="1"/>
      <name val="Calibri"/>
      <family val="2"/>
      <scheme val="minor"/>
    </font>
    <font>
      <u/>
      <sz val="11"/>
      <color theme="10"/>
      <name val="Calibri"/>
      <family val="2"/>
      <scheme val="minor"/>
    </font>
    <font>
      <sz val="11"/>
      <color rgb="FF444444"/>
      <name val="Calibri"/>
      <family val="2"/>
      <charset val="1"/>
    </font>
    <font>
      <sz val="11"/>
      <color rgb="FF444444"/>
      <name val="Calibri"/>
      <charset val="1"/>
    </font>
    <font>
      <sz val="11"/>
      <color rgb="FF000000"/>
      <name val="Calibri"/>
      <family val="2"/>
      <scheme val="minor"/>
    </font>
    <font>
      <b/>
      <sz val="11"/>
      <color rgb="FF000000"/>
      <name val="Calibri"/>
      <charset val="1"/>
    </font>
    <font>
      <sz val="11"/>
      <color rgb="FF002060"/>
      <name val="Calibri"/>
      <charset val="1"/>
    </font>
    <font>
      <b/>
      <sz val="11"/>
      <color rgb="FF000000"/>
      <name val="Calibri"/>
      <family val="2"/>
    </font>
    <font>
      <sz val="11"/>
      <color rgb="FF000000"/>
      <name val="Calibri"/>
      <family val="2"/>
    </font>
    <font>
      <b/>
      <sz val="11"/>
      <color rgb="FF00B050"/>
      <name val="Calibri"/>
      <family val="2"/>
      <scheme val="minor"/>
    </font>
    <font>
      <b/>
      <sz val="11"/>
      <color theme="5"/>
      <name val="Calibri"/>
      <family val="2"/>
      <scheme val="minor"/>
    </font>
    <font>
      <sz val="11"/>
      <color rgb="FFFF0000"/>
      <name val="Calibri"/>
      <family val="2"/>
      <scheme val="minor"/>
    </font>
    <font>
      <sz val="11"/>
      <color rgb="FF000000"/>
      <name val="Calibri"/>
      <scheme val="minor"/>
    </font>
    <font>
      <b/>
      <sz val="11"/>
      <color rgb="FF000000"/>
      <name val="Calibri"/>
      <scheme val="minor"/>
    </font>
    <font>
      <sz val="11"/>
      <color rgb="FF000000"/>
      <name val="Segoe UI"/>
      <charset val="1"/>
    </font>
    <font>
      <sz val="11"/>
      <color rgb="FF000000"/>
      <name val="Calibri"/>
    </font>
    <font>
      <b/>
      <sz val="11"/>
      <color rgb="FFFF0000"/>
      <name val="Calibri"/>
      <scheme val="minor"/>
    </font>
    <font>
      <sz val="11"/>
      <color rgb="FFFF0000"/>
      <name val="Calibri"/>
      <scheme val="minor"/>
    </font>
    <font>
      <sz val="11"/>
      <color rgb="FF44546A"/>
      <name val="Calibri"/>
      <charset val="1"/>
    </font>
    <font>
      <sz val="11"/>
      <color theme="1"/>
      <name val="Calibri"/>
      <family val="2"/>
    </font>
    <font>
      <sz val="11"/>
      <color theme="1"/>
      <name val="Calibri"/>
      <family val="2"/>
      <charset val="1"/>
    </font>
    <font>
      <sz val="10"/>
      <name val="Calibri"/>
      <family val="2"/>
      <scheme val="minor"/>
    </font>
    <font>
      <b/>
      <sz val="11"/>
      <color rgb="FF000000"/>
      <name val="Calibri"/>
    </font>
    <font>
      <sz val="11"/>
      <color rgb="FF444444"/>
      <name val="Aptos Narrow"/>
      <charset val="1"/>
    </font>
  </fonts>
  <fills count="18">
    <fill>
      <patternFill patternType="none"/>
    </fill>
    <fill>
      <patternFill patternType="gray125"/>
    </fill>
    <fill>
      <patternFill patternType="solid">
        <fgColor theme="4" tint="0.39997558519241921"/>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5" tint="0.79998168889431442"/>
        <bgColor indexed="64"/>
      </patternFill>
    </fill>
    <fill>
      <patternFill patternType="solid">
        <fgColor theme="7"/>
        <bgColor indexed="64"/>
      </patternFill>
    </fill>
    <fill>
      <patternFill patternType="solid">
        <fgColor theme="0"/>
        <bgColor indexed="64"/>
      </patternFill>
    </fill>
    <fill>
      <patternFill patternType="solid">
        <fgColor theme="9"/>
        <bgColor indexed="64"/>
      </patternFill>
    </fill>
    <fill>
      <patternFill patternType="solid">
        <fgColor rgb="FFFF0000"/>
        <bgColor indexed="64"/>
      </patternFill>
    </fill>
    <fill>
      <patternFill patternType="solid">
        <fgColor rgb="FFFFFF00"/>
        <bgColor indexed="64"/>
      </patternFill>
    </fill>
    <fill>
      <patternFill patternType="solid">
        <fgColor theme="7" tint="0.39997558519241921"/>
        <bgColor indexed="64"/>
      </patternFill>
    </fill>
    <fill>
      <patternFill patternType="solid">
        <fgColor rgb="FF8EA9DB"/>
        <bgColor indexed="64"/>
      </patternFill>
    </fill>
    <fill>
      <patternFill patternType="solid">
        <fgColor rgb="FFA9D08E"/>
        <bgColor rgb="FF000000"/>
      </patternFill>
    </fill>
    <fill>
      <patternFill patternType="solid">
        <fgColor theme="9" tint="0.59999389629810485"/>
        <bgColor indexed="64"/>
      </patternFill>
    </fill>
    <fill>
      <patternFill patternType="solid">
        <fgColor rgb="FFFFFFFF"/>
        <bgColor indexed="64"/>
      </patternFill>
    </fill>
    <fill>
      <patternFill patternType="solid">
        <fgColor rgb="FFA9D08E"/>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diagonal/>
    </border>
    <border>
      <left/>
      <right/>
      <top/>
      <bottom style="thin">
        <color indexed="64"/>
      </bottom>
      <diagonal/>
    </border>
    <border>
      <left style="medium">
        <color indexed="64"/>
      </left>
      <right style="medium">
        <color indexed="64"/>
      </right>
      <top/>
      <bottom/>
      <diagonal/>
    </border>
    <border>
      <left/>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top style="medium">
        <color indexed="64"/>
      </top>
      <bottom/>
      <diagonal/>
    </border>
    <border>
      <left/>
      <right/>
      <top style="thin">
        <color rgb="FF000000"/>
      </top>
      <bottom/>
      <diagonal/>
    </border>
    <border>
      <left/>
      <right style="thin">
        <color rgb="FF000000"/>
      </right>
      <top/>
      <bottom style="thin">
        <color rgb="FF000000"/>
      </bottom>
      <diagonal/>
    </border>
  </borders>
  <cellStyleXfs count="2">
    <xf numFmtId="0" fontId="0" fillId="0" borderId="0"/>
    <xf numFmtId="0" fontId="5" fillId="0" borderId="0" applyNumberFormat="0" applyFill="0" applyBorder="0" applyAlignment="0" applyProtection="0"/>
  </cellStyleXfs>
  <cellXfs count="349">
    <xf numFmtId="0" fontId="0" fillId="0" borderId="0" xfId="0"/>
    <xf numFmtId="0" fontId="0" fillId="0" borderId="0" xfId="0" applyAlignment="1">
      <alignment vertical="center" wrapText="1"/>
    </xf>
    <xf numFmtId="0" fontId="0" fillId="0" borderId="0" xfId="0" applyAlignment="1">
      <alignment horizontal="center" vertical="center"/>
    </xf>
    <xf numFmtId="0" fontId="2" fillId="2" borderId="1" xfId="0" applyFont="1" applyFill="1" applyBorder="1" applyAlignment="1">
      <alignment vertical="center" wrapText="1"/>
    </xf>
    <xf numFmtId="0" fontId="0" fillId="0" borderId="1" xfId="0" applyBorder="1" applyAlignment="1">
      <alignment vertical="center" wrapText="1"/>
    </xf>
    <xf numFmtId="0" fontId="0" fillId="0" borderId="1" xfId="0" applyBorder="1"/>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8" xfId="0" applyBorder="1" applyAlignment="1">
      <alignment horizontal="center" vertical="center" wrapText="1"/>
    </xf>
    <xf numFmtId="0" fontId="0" fillId="0" borderId="4" xfId="0" applyBorder="1" applyAlignment="1">
      <alignment horizontal="center" vertical="center" wrapText="1"/>
    </xf>
    <xf numFmtId="0" fontId="0" fillId="0" borderId="8" xfId="0" applyBorder="1"/>
    <xf numFmtId="0" fontId="2" fillId="4" borderId="8" xfId="0" applyFont="1" applyFill="1" applyBorder="1" applyAlignment="1">
      <alignment horizontal="center" vertical="center"/>
    </xf>
    <xf numFmtId="0" fontId="0" fillId="0" borderId="8" xfId="0" applyBorder="1" applyAlignment="1">
      <alignment horizontal="center" vertical="center"/>
    </xf>
    <xf numFmtId="14" fontId="0" fillId="0" borderId="8" xfId="0" applyNumberFormat="1" applyBorder="1" applyAlignment="1">
      <alignment horizontal="center" vertical="center"/>
    </xf>
    <xf numFmtId="0" fontId="0" fillId="0" borderId="8" xfId="0" applyBorder="1" applyAlignment="1">
      <alignment horizontal="left" vertical="center" wrapText="1"/>
    </xf>
    <xf numFmtId="0" fontId="0" fillId="0" borderId="0" xfId="0" applyAlignment="1">
      <alignment vertical="center"/>
    </xf>
    <xf numFmtId="0" fontId="0" fillId="0" borderId="8" xfId="0" applyBorder="1" applyAlignment="1">
      <alignment vertical="center"/>
    </xf>
    <xf numFmtId="0" fontId="2" fillId="4" borderId="8" xfId="0" applyFont="1" applyFill="1" applyBorder="1" applyAlignment="1">
      <alignment horizontal="left" vertical="center" wrapText="1"/>
    </xf>
    <xf numFmtId="0" fontId="0" fillId="0" borderId="0" xfId="0" applyAlignment="1">
      <alignment horizontal="left" vertical="center" wrapText="1"/>
    </xf>
    <xf numFmtId="0" fontId="4" fillId="5" borderId="8" xfId="0" applyFont="1" applyFill="1" applyBorder="1" applyAlignment="1">
      <alignment horizontal="center" vertical="center" wrapText="1"/>
    </xf>
    <xf numFmtId="0" fontId="0" fillId="6" borderId="8" xfId="0" applyFill="1" applyBorder="1" applyAlignment="1">
      <alignment horizontal="center" vertical="center" wrapText="1"/>
    </xf>
    <xf numFmtId="0" fontId="4" fillId="5" borderId="8" xfId="0" applyFont="1" applyFill="1" applyBorder="1" applyAlignment="1">
      <alignment vertical="center" wrapText="1"/>
    </xf>
    <xf numFmtId="0" fontId="0" fillId="0" borderId="8" xfId="0" applyBorder="1" applyAlignment="1">
      <alignment vertical="center" wrapText="1"/>
    </xf>
    <xf numFmtId="0" fontId="0" fillId="6" borderId="8" xfId="0" applyFill="1" applyBorder="1" applyAlignment="1">
      <alignment vertical="center" wrapText="1"/>
    </xf>
    <xf numFmtId="0" fontId="4" fillId="5" borderId="8" xfId="0" applyFont="1" applyFill="1" applyBorder="1" applyAlignment="1">
      <alignment vertical="center"/>
    </xf>
    <xf numFmtId="0" fontId="0" fillId="6" borderId="8" xfId="0" applyFill="1" applyBorder="1" applyAlignment="1">
      <alignment horizontal="center" vertical="center"/>
    </xf>
    <xf numFmtId="0" fontId="0" fillId="6" borderId="8" xfId="0" applyFill="1" applyBorder="1"/>
    <xf numFmtId="0" fontId="5" fillId="0" borderId="0" xfId="1"/>
    <xf numFmtId="0" fontId="3" fillId="0" borderId="8" xfId="0" applyFont="1" applyBorder="1" applyAlignment="1">
      <alignment wrapText="1"/>
    </xf>
    <xf numFmtId="0" fontId="0" fillId="0" borderId="12" xfId="0" applyBorder="1" applyAlignment="1">
      <alignment horizontal="center" vertical="center"/>
    </xf>
    <xf numFmtId="0" fontId="0" fillId="0" borderId="12" xfId="0" applyBorder="1" applyAlignment="1">
      <alignment vertical="center"/>
    </xf>
    <xf numFmtId="0" fontId="0" fillId="0" borderId="9" xfId="0" applyBorder="1" applyAlignment="1">
      <alignment horizontal="left" vertical="center" wrapText="1"/>
    </xf>
    <xf numFmtId="0" fontId="0" fillId="8" borderId="8" xfId="0" applyFill="1" applyBorder="1" applyAlignment="1">
      <alignment horizontal="center" vertical="center"/>
    </xf>
    <xf numFmtId="0" fontId="0" fillId="8" borderId="0" xfId="0" applyFill="1" applyAlignment="1">
      <alignment horizontal="center" vertical="center"/>
    </xf>
    <xf numFmtId="0" fontId="0" fillId="8" borderId="0" xfId="0" applyFill="1" applyAlignment="1">
      <alignment horizontal="center" vertical="center" wrapText="1"/>
    </xf>
    <xf numFmtId="0" fontId="0" fillId="8" borderId="11" xfId="0" applyFill="1" applyBorder="1" applyAlignment="1">
      <alignment horizontal="center" vertical="center"/>
    </xf>
    <xf numFmtId="0" fontId="0" fillId="8" borderId="0" xfId="0" applyFill="1"/>
    <xf numFmtId="0" fontId="0" fillId="8" borderId="8" xfId="0" applyFill="1" applyBorder="1" applyAlignment="1">
      <alignment horizontal="center" vertical="center" wrapText="1"/>
    </xf>
    <xf numFmtId="0" fontId="0" fillId="0" borderId="12" xfId="0" applyBorder="1"/>
    <xf numFmtId="0" fontId="2" fillId="0" borderId="8" xfId="0" applyFont="1" applyBorder="1" applyAlignment="1">
      <alignment horizontal="center"/>
    </xf>
    <xf numFmtId="0" fontId="0" fillId="0" borderId="8" xfId="0" applyBorder="1" applyAlignment="1">
      <alignment horizontal="center"/>
    </xf>
    <xf numFmtId="0" fontId="0" fillId="7" borderId="8" xfId="0" applyFill="1" applyBorder="1" applyAlignment="1">
      <alignment horizontal="center"/>
    </xf>
    <xf numFmtId="0" fontId="0" fillId="0" borderId="11" xfId="0" applyBorder="1" applyAlignment="1">
      <alignment horizontal="center" vertical="center"/>
    </xf>
    <xf numFmtId="0" fontId="7" fillId="0" borderId="15" xfId="0" applyFont="1" applyBorder="1" applyAlignment="1">
      <alignment vertical="center"/>
    </xf>
    <xf numFmtId="0" fontId="3" fillId="0" borderId="0" xfId="0" applyFont="1"/>
    <xf numFmtId="0" fontId="4" fillId="5" borderId="12" xfId="0" applyFont="1" applyFill="1" applyBorder="1" applyAlignment="1">
      <alignment vertical="center"/>
    </xf>
    <xf numFmtId="0" fontId="0" fillId="8" borderId="12" xfId="0" applyFill="1" applyBorder="1"/>
    <xf numFmtId="0" fontId="0" fillId="6" borderId="12" xfId="0" applyFill="1" applyBorder="1"/>
    <xf numFmtId="0" fontId="8" fillId="10" borderId="8" xfId="0" applyFont="1" applyFill="1" applyBorder="1" applyAlignment="1">
      <alignment horizontal="center" vertical="center"/>
    </xf>
    <xf numFmtId="0" fontId="2" fillId="10" borderId="12" xfId="0" applyFont="1" applyFill="1" applyBorder="1" applyAlignment="1">
      <alignment wrapText="1"/>
    </xf>
    <xf numFmtId="0" fontId="0" fillId="11" borderId="8" xfId="0" applyFill="1" applyBorder="1" applyAlignment="1">
      <alignment horizontal="center" vertical="center"/>
    </xf>
    <xf numFmtId="0" fontId="4" fillId="5" borderId="8" xfId="0" applyFont="1" applyFill="1" applyBorder="1" applyAlignment="1">
      <alignment horizontal="left" vertical="center"/>
    </xf>
    <xf numFmtId="0" fontId="0" fillId="0" borderId="0" xfId="0" applyAlignment="1">
      <alignment horizontal="left"/>
    </xf>
    <xf numFmtId="0" fontId="0" fillId="0" borderId="9" xfId="0" applyBorder="1" applyAlignment="1">
      <alignment horizontal="center" vertical="center"/>
    </xf>
    <xf numFmtId="0" fontId="0" fillId="0" borderId="16" xfId="0" applyBorder="1" applyAlignment="1">
      <alignment vertical="center"/>
    </xf>
    <xf numFmtId="0" fontId="0" fillId="6" borderId="16" xfId="0" applyFill="1" applyBorder="1" applyAlignment="1">
      <alignment vertical="center"/>
    </xf>
    <xf numFmtId="0" fontId="0" fillId="6" borderId="16" xfId="0" applyFill="1" applyBorder="1" applyAlignment="1">
      <alignment horizontal="center" vertical="center"/>
    </xf>
    <xf numFmtId="0" fontId="0" fillId="0" borderId="16" xfId="0" applyBorder="1" applyAlignment="1">
      <alignment horizontal="center" vertical="center"/>
    </xf>
    <xf numFmtId="0" fontId="0" fillId="8" borderId="16" xfId="0" applyFill="1" applyBorder="1" applyAlignment="1">
      <alignment horizontal="center" vertical="center"/>
    </xf>
    <xf numFmtId="0" fontId="0" fillId="8" borderId="16" xfId="0" applyFill="1" applyBorder="1" applyAlignment="1">
      <alignment vertical="center"/>
    </xf>
    <xf numFmtId="0" fontId="0" fillId="8" borderId="16" xfId="0"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9" xfId="0" applyFont="1" applyFill="1" applyBorder="1" applyAlignment="1">
      <alignment vertical="center"/>
    </xf>
    <xf numFmtId="0" fontId="2" fillId="10" borderId="8" xfId="0" applyFont="1" applyFill="1" applyBorder="1" applyAlignment="1">
      <alignment horizontal="center" vertical="center"/>
    </xf>
    <xf numFmtId="0" fontId="0" fillId="5" borderId="0" xfId="0" applyFill="1"/>
    <xf numFmtId="0" fontId="0" fillId="0" borderId="18" xfId="0" applyBorder="1" applyAlignment="1">
      <alignment horizontal="center" vertical="center"/>
    </xf>
    <xf numFmtId="0" fontId="4" fillId="5" borderId="17" xfId="0" applyFont="1" applyFill="1" applyBorder="1" applyAlignment="1">
      <alignment horizontal="center" vertical="center" wrapText="1"/>
    </xf>
    <xf numFmtId="0" fontId="4" fillId="5" borderId="17" xfId="0" applyFont="1" applyFill="1" applyBorder="1" applyAlignment="1">
      <alignment vertical="center"/>
    </xf>
    <xf numFmtId="0" fontId="5" fillId="0" borderId="0" xfId="1" applyBorder="1"/>
    <xf numFmtId="0" fontId="0" fillId="6" borderId="0" xfId="0" applyFill="1"/>
    <xf numFmtId="0" fontId="0" fillId="0" borderId="9" xfId="0" applyBorder="1" applyAlignment="1">
      <alignment vertical="center"/>
    </xf>
    <xf numFmtId="0" fontId="0" fillId="0" borderId="11" xfId="0" applyBorder="1"/>
    <xf numFmtId="0" fontId="0" fillId="0" borderId="11" xfId="0" applyBorder="1" applyAlignment="1">
      <alignment horizontal="center"/>
    </xf>
    <xf numFmtId="0" fontId="2" fillId="0" borderId="8" xfId="0" applyFont="1" applyBorder="1" applyAlignment="1">
      <alignment horizontal="center" wrapText="1"/>
    </xf>
    <xf numFmtId="0" fontId="0" fillId="0" borderId="15" xfId="0" applyBorder="1"/>
    <xf numFmtId="0" fontId="0" fillId="0" borderId="20" xfId="0" applyBorder="1"/>
    <xf numFmtId="0" fontId="9" fillId="13" borderId="21" xfId="0" applyFont="1" applyFill="1" applyBorder="1"/>
    <xf numFmtId="0" fontId="10" fillId="0" borderId="22" xfId="0" applyFont="1" applyBorder="1"/>
    <xf numFmtId="0" fontId="9" fillId="13" borderId="22" xfId="0" applyFont="1" applyFill="1" applyBorder="1"/>
    <xf numFmtId="0" fontId="0" fillId="0" borderId="19" xfId="0" applyBorder="1" applyAlignment="1">
      <alignment horizontal="center" vertical="center"/>
    </xf>
    <xf numFmtId="14" fontId="0" fillId="0" borderId="9" xfId="0" applyNumberFormat="1" applyBorder="1" applyAlignment="1">
      <alignment horizontal="center" vertical="center"/>
    </xf>
    <xf numFmtId="0" fontId="0" fillId="0" borderId="13" xfId="0" applyBorder="1" applyAlignment="1">
      <alignment horizontal="center" vertical="center"/>
    </xf>
    <xf numFmtId="0" fontId="2" fillId="3" borderId="1" xfId="0" applyFont="1" applyFill="1" applyBorder="1"/>
    <xf numFmtId="0" fontId="2" fillId="3" borderId="2" xfId="0" applyFont="1" applyFill="1" applyBorder="1"/>
    <xf numFmtId="0" fontId="2" fillId="3" borderId="8" xfId="0" applyFont="1" applyFill="1" applyBorder="1"/>
    <xf numFmtId="0" fontId="11" fillId="14" borderId="18" xfId="0" applyFont="1" applyFill="1" applyBorder="1"/>
    <xf numFmtId="0" fontId="12" fillId="0" borderId="8" xfId="0" applyFont="1" applyBorder="1"/>
    <xf numFmtId="0" fontId="0" fillId="0" borderId="0" xfId="0" applyAlignment="1">
      <alignment wrapText="1"/>
    </xf>
    <xf numFmtId="0" fontId="0" fillId="0" borderId="2" xfId="0" applyBorder="1"/>
    <xf numFmtId="0" fontId="13" fillId="0" borderId="1" xfId="0" applyFont="1" applyBorder="1"/>
    <xf numFmtId="0" fontId="13" fillId="0" borderId="2" xfId="0" applyFont="1" applyBorder="1"/>
    <xf numFmtId="16" fontId="0" fillId="0" borderId="0" xfId="0" applyNumberFormat="1"/>
    <xf numFmtId="0" fontId="14" fillId="0" borderId="1" xfId="0" applyFont="1" applyBorder="1"/>
    <xf numFmtId="0" fontId="12" fillId="0" borderId="0" xfId="0" applyFont="1"/>
    <xf numFmtId="0" fontId="0" fillId="0" borderId="4" xfId="0" applyBorder="1"/>
    <xf numFmtId="0" fontId="0" fillId="0" borderId="19" xfId="0" applyBorder="1" applyAlignment="1">
      <alignment vertical="center"/>
    </xf>
    <xf numFmtId="0" fontId="0" fillId="0" borderId="18" xfId="0" applyBorder="1" applyAlignment="1">
      <alignment vertical="center"/>
    </xf>
    <xf numFmtId="0" fontId="0" fillId="0" borderId="13" xfId="0" applyBorder="1" applyAlignment="1">
      <alignment horizontal="center" vertical="center" wrapText="1"/>
    </xf>
    <xf numFmtId="0" fontId="0" fillId="8" borderId="8" xfId="0" applyFill="1" applyBorder="1"/>
    <xf numFmtId="0" fontId="0" fillId="8" borderId="8" xfId="0" applyFill="1" applyBorder="1" applyAlignment="1">
      <alignment vertical="center"/>
    </xf>
    <xf numFmtId="0" fontId="0" fillId="0" borderId="12" xfId="0" applyBorder="1" applyAlignment="1">
      <alignment horizontal="left"/>
    </xf>
    <xf numFmtId="0" fontId="0" fillId="8" borderId="12" xfId="0" applyFill="1" applyBorder="1" applyAlignment="1">
      <alignment horizontal="left" vertical="center"/>
    </xf>
    <xf numFmtId="0" fontId="0" fillId="0" borderId="12" xfId="0" applyBorder="1" applyAlignment="1">
      <alignment horizontal="left" vertical="center"/>
    </xf>
    <xf numFmtId="0" fontId="4" fillId="5" borderId="9" xfId="0" applyFont="1" applyFill="1" applyBorder="1" applyAlignment="1">
      <alignment horizontal="left" vertical="center"/>
    </xf>
    <xf numFmtId="0" fontId="10" fillId="0" borderId="22" xfId="0" applyFont="1" applyBorder="1" applyAlignment="1">
      <alignment horizontal="center" vertical="center"/>
    </xf>
    <xf numFmtId="0" fontId="10" fillId="0" borderId="22" xfId="0" applyFont="1" applyBorder="1" applyAlignment="1">
      <alignment horizontal="center"/>
    </xf>
    <xf numFmtId="0" fontId="0" fillId="0" borderId="9" xfId="0" applyBorder="1" applyAlignment="1">
      <alignment horizontal="center" vertical="center" wrapText="1"/>
    </xf>
    <xf numFmtId="9" fontId="9" fillId="13" borderId="22" xfId="0" applyNumberFormat="1" applyFont="1" applyFill="1" applyBorder="1"/>
    <xf numFmtId="21" fontId="0" fillId="0" borderId="8" xfId="0" applyNumberFormat="1" applyBorder="1"/>
    <xf numFmtId="46" fontId="0" fillId="0" borderId="0" xfId="0" applyNumberFormat="1"/>
    <xf numFmtId="0" fontId="2" fillId="10" borderId="8" xfId="0" applyFont="1" applyFill="1" applyBorder="1" applyAlignment="1">
      <alignment horizontal="left" vertical="center" wrapText="1"/>
    </xf>
    <xf numFmtId="0" fontId="0" fillId="8" borderId="8" xfId="0" applyFill="1" applyBorder="1" applyAlignment="1">
      <alignment horizontal="left" vertical="center"/>
    </xf>
    <xf numFmtId="0" fontId="0" fillId="0" borderId="8" xfId="0" applyBorder="1" applyAlignment="1">
      <alignment horizontal="left"/>
    </xf>
    <xf numFmtId="0" fontId="0" fillId="0" borderId="8" xfId="0" applyBorder="1" applyAlignment="1">
      <alignment horizontal="left" vertical="center"/>
    </xf>
    <xf numFmtId="0" fontId="2" fillId="10" borderId="12" xfId="0" applyFont="1" applyFill="1" applyBorder="1" applyAlignment="1">
      <alignment horizontal="center" vertical="center"/>
    </xf>
    <xf numFmtId="0" fontId="0" fillId="8" borderId="12" xfId="0" applyFill="1"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left"/>
    </xf>
    <xf numFmtId="21" fontId="0" fillId="0" borderId="9" xfId="0" applyNumberFormat="1" applyBorder="1"/>
    <xf numFmtId="0" fontId="0" fillId="6" borderId="15" xfId="0" applyFill="1" applyBorder="1" applyAlignment="1">
      <alignment horizontal="left" vertical="center"/>
    </xf>
    <xf numFmtId="21" fontId="0" fillId="0" borderId="10" xfId="0" applyNumberFormat="1" applyBorder="1"/>
    <xf numFmtId="0" fontId="0" fillId="11" borderId="12" xfId="0" applyFill="1" applyBorder="1" applyAlignment="1">
      <alignment horizontal="left"/>
    </xf>
    <xf numFmtId="0" fontId="0" fillId="11" borderId="12" xfId="0" applyFill="1" applyBorder="1" applyAlignment="1">
      <alignment horizontal="center" vertical="center" wrapText="1"/>
    </xf>
    <xf numFmtId="0" fontId="0" fillId="11" borderId="8" xfId="0" applyFill="1" applyBorder="1" applyAlignment="1">
      <alignment horizontal="left" vertical="center"/>
    </xf>
    <xf numFmtId="0" fontId="0" fillId="8" borderId="15" xfId="0" applyFill="1" applyBorder="1" applyAlignment="1">
      <alignment horizontal="left" vertical="center"/>
    </xf>
    <xf numFmtId="21" fontId="10" fillId="0" borderId="22" xfId="0" applyNumberFormat="1" applyFont="1" applyBorder="1" applyAlignment="1">
      <alignment horizontal="center"/>
    </xf>
    <xf numFmtId="0" fontId="2" fillId="4" borderId="8" xfId="0" applyFont="1" applyFill="1" applyBorder="1" applyAlignment="1">
      <alignment horizontal="center" vertical="center" wrapText="1"/>
    </xf>
    <xf numFmtId="0" fontId="7" fillId="0" borderId="9" xfId="0" applyFont="1" applyBorder="1" applyAlignment="1">
      <alignment horizontal="center" vertical="center"/>
    </xf>
    <xf numFmtId="0" fontId="3" fillId="0" borderId="0" xfId="0" applyFont="1" applyAlignment="1">
      <alignment horizontal="center"/>
    </xf>
    <xf numFmtId="0" fontId="0" fillId="0" borderId="0" xfId="0" applyAlignment="1">
      <alignment horizontal="center"/>
    </xf>
    <xf numFmtId="14" fontId="0" fillId="0" borderId="8" xfId="0" applyNumberFormat="1" applyBorder="1" applyAlignment="1">
      <alignment horizontal="center"/>
    </xf>
    <xf numFmtId="0" fontId="0" fillId="11" borderId="2" xfId="0" applyFill="1" applyBorder="1"/>
    <xf numFmtId="0" fontId="0" fillId="0" borderId="8" xfId="0" applyBorder="1" applyAlignment="1">
      <alignment wrapText="1"/>
    </xf>
    <xf numFmtId="14" fontId="0" fillId="0" borderId="8" xfId="0" applyNumberFormat="1" applyBorder="1" applyAlignment="1">
      <alignment vertical="center"/>
    </xf>
    <xf numFmtId="0" fontId="0" fillId="0" borderId="8" xfId="0" applyBorder="1" applyAlignment="1">
      <alignment horizontal="center" wrapText="1"/>
    </xf>
    <xf numFmtId="0" fontId="9" fillId="13" borderId="8" xfId="0" applyFont="1" applyFill="1" applyBorder="1"/>
    <xf numFmtId="9" fontId="0" fillId="0" borderId="11" xfId="0" applyNumberFormat="1" applyBorder="1"/>
    <xf numFmtId="0" fontId="16" fillId="0" borderId="8" xfId="0" applyFont="1" applyBorder="1" applyAlignment="1">
      <alignment wrapText="1"/>
    </xf>
    <xf numFmtId="0" fontId="8" fillId="0" borderId="8" xfId="0" applyFont="1" applyBorder="1" applyAlignment="1">
      <alignment wrapText="1"/>
    </xf>
    <xf numFmtId="0" fontId="6" fillId="0" borderId="8" xfId="0" applyFont="1" applyBorder="1" applyAlignment="1">
      <alignment horizontal="center" vertical="center"/>
    </xf>
    <xf numFmtId="0" fontId="0" fillId="0" borderId="11" xfId="0" applyBorder="1" applyAlignment="1">
      <alignment horizontal="center" vertical="center" wrapText="1"/>
    </xf>
    <xf numFmtId="0" fontId="3" fillId="0" borderId="8" xfId="0" applyFont="1" applyBorder="1"/>
    <xf numFmtId="0" fontId="3" fillId="16" borderId="8" xfId="0" applyFont="1" applyFill="1" applyBorder="1" applyAlignment="1">
      <alignment horizontal="left" vertical="center" wrapText="1"/>
    </xf>
    <xf numFmtId="0" fontId="0" fillId="0" borderId="18" xfId="0" applyBorder="1"/>
    <xf numFmtId="0" fontId="0" fillId="0" borderId="9" xfId="0" applyBorder="1"/>
    <xf numFmtId="0" fontId="0" fillId="0" borderId="9" xfId="0" applyBorder="1" applyAlignment="1">
      <alignment wrapText="1"/>
    </xf>
    <xf numFmtId="0" fontId="0" fillId="0" borderId="8" xfId="0" applyBorder="1" applyAlignment="1">
      <alignment vertical="top" wrapText="1"/>
    </xf>
    <xf numFmtId="0" fontId="6" fillId="0" borderId="8" xfId="0" applyFont="1" applyBorder="1" applyAlignment="1">
      <alignment horizontal="center" vertical="center" wrapText="1"/>
    </xf>
    <xf numFmtId="0" fontId="6" fillId="0" borderId="12" xfId="0" applyFont="1" applyBorder="1" applyAlignment="1">
      <alignment horizontal="center" vertical="center"/>
    </xf>
    <xf numFmtId="0" fontId="7" fillId="0" borderId="8" xfId="0" applyFont="1" applyBorder="1" applyAlignment="1">
      <alignment horizontal="center" vertical="center"/>
    </xf>
    <xf numFmtId="0" fontId="0" fillId="0" borderId="10" xfId="0" applyBorder="1" applyAlignment="1">
      <alignment horizontal="center" vertical="center" wrapText="1"/>
    </xf>
    <xf numFmtId="0" fontId="0" fillId="0" borderId="9" xfId="0" applyBorder="1" applyAlignment="1">
      <alignment vertical="center" wrapText="1"/>
    </xf>
    <xf numFmtId="0" fontId="0" fillId="0" borderId="11" xfId="0" applyBorder="1" applyAlignment="1">
      <alignment vertical="center"/>
    </xf>
    <xf numFmtId="0" fontId="0" fillId="0" borderId="11" xfId="0" applyBorder="1" applyAlignment="1">
      <alignment wrapText="1"/>
    </xf>
    <xf numFmtId="0" fontId="0" fillId="0" borderId="0" xfId="0" applyAlignment="1">
      <alignment horizontal="center" wrapText="1"/>
    </xf>
    <xf numFmtId="0" fontId="0" fillId="0" borderId="0" xfId="0" applyAlignment="1">
      <alignment horizontal="center" vertical="center" wrapText="1"/>
    </xf>
    <xf numFmtId="0" fontId="0" fillId="0" borderId="10" xfId="0" applyBorder="1" applyAlignment="1">
      <alignment horizontal="center" vertical="center"/>
    </xf>
    <xf numFmtId="9" fontId="0" fillId="0" borderId="0" xfId="0" applyNumberFormat="1"/>
    <xf numFmtId="0" fontId="0" fillId="0" borderId="10" xfId="0" applyBorder="1" applyAlignment="1">
      <alignment vertical="center"/>
    </xf>
    <xf numFmtId="0" fontId="0" fillId="0" borderId="9" xfId="0" applyBorder="1" applyAlignment="1">
      <alignment horizontal="left" vertical="center"/>
    </xf>
    <xf numFmtId="0" fontId="3" fillId="0" borderId="9" xfId="0" applyFont="1" applyBorder="1" applyAlignment="1">
      <alignment horizontal="center" vertical="center" wrapText="1"/>
    </xf>
    <xf numFmtId="0" fontId="0" fillId="0" borderId="8" xfId="0" applyBorder="1" applyAlignment="1">
      <alignment horizontal="left" vertical="top" wrapText="1"/>
    </xf>
    <xf numFmtId="0" fontId="3" fillId="16" borderId="8" xfId="0" applyFont="1" applyFill="1" applyBorder="1" applyAlignment="1">
      <alignment wrapText="1"/>
    </xf>
    <xf numFmtId="0" fontId="0" fillId="0" borderId="30" xfId="0" applyBorder="1" applyAlignment="1">
      <alignment horizontal="center" vertical="center" wrapText="1"/>
    </xf>
    <xf numFmtId="0" fontId="16" fillId="0" borderId="9" xfId="0" applyFont="1" applyBorder="1" applyAlignment="1">
      <alignment horizontal="center" vertical="center" wrapText="1"/>
    </xf>
    <xf numFmtId="0" fontId="0" fillId="0" borderId="9" xfId="0" applyBorder="1" applyAlignment="1">
      <alignment horizontal="center" wrapText="1"/>
    </xf>
    <xf numFmtId="0" fontId="3" fillId="0" borderId="8" xfId="0" applyFont="1" applyBorder="1" applyAlignment="1">
      <alignment horizontal="left" vertical="center"/>
    </xf>
    <xf numFmtId="0" fontId="3" fillId="0" borderId="0" xfId="0" applyFont="1" applyAlignment="1">
      <alignment vertical="center" wrapText="1"/>
    </xf>
    <xf numFmtId="0" fontId="3" fillId="0" borderId="8" xfId="0" applyFont="1" applyBorder="1" applyAlignment="1">
      <alignment horizontal="center" vertical="center"/>
    </xf>
    <xf numFmtId="0" fontId="2" fillId="4" borderId="9" xfId="0" applyFont="1" applyFill="1" applyBorder="1" applyAlignment="1">
      <alignment horizontal="center" vertical="center" wrapText="1"/>
    </xf>
    <xf numFmtId="0" fontId="2" fillId="4" borderId="9" xfId="0" applyFont="1" applyFill="1" applyBorder="1" applyAlignment="1">
      <alignment horizontal="left" vertical="center" wrapText="1"/>
    </xf>
    <xf numFmtId="0" fontId="9" fillId="17" borderId="31" xfId="0" applyFont="1" applyFill="1" applyBorder="1"/>
    <xf numFmtId="0" fontId="9" fillId="17" borderId="21" xfId="0" applyFont="1" applyFill="1" applyBorder="1"/>
    <xf numFmtId="0" fontId="3" fillId="0" borderId="23" xfId="0" applyFont="1" applyBorder="1"/>
    <xf numFmtId="0" fontId="3" fillId="0" borderId="22" xfId="0" applyFont="1" applyBorder="1"/>
    <xf numFmtId="14" fontId="3" fillId="0" borderId="22" xfId="0" applyNumberFormat="1" applyFont="1" applyBorder="1"/>
    <xf numFmtId="0" fontId="18" fillId="0" borderId="23" xfId="0" applyFont="1" applyBorder="1"/>
    <xf numFmtId="0" fontId="8" fillId="0" borderId="11" xfId="0" applyFont="1" applyBorder="1" applyAlignment="1">
      <alignment vertical="center" wrapText="1"/>
    </xf>
    <xf numFmtId="0" fontId="0" fillId="0" borderId="11" xfId="0" applyBorder="1" applyAlignment="1">
      <alignment vertical="center" wrapText="1"/>
    </xf>
    <xf numFmtId="0" fontId="6" fillId="0" borderId="0" xfId="0" applyFont="1" applyAlignment="1">
      <alignment horizontal="center" vertical="center"/>
    </xf>
    <xf numFmtId="0" fontId="8" fillId="0" borderId="11" xfId="0" applyFont="1" applyBorder="1" applyAlignment="1">
      <alignment vertical="center"/>
    </xf>
    <xf numFmtId="0" fontId="19" fillId="0" borderId="0" xfId="0" applyFont="1" applyAlignment="1">
      <alignment vertical="center" wrapText="1"/>
    </xf>
    <xf numFmtId="14" fontId="0" fillId="0" borderId="11" xfId="0" applyNumberFormat="1" applyBorder="1" applyAlignment="1">
      <alignment horizontal="center" vertical="center"/>
    </xf>
    <xf numFmtId="14" fontId="0" fillId="0" borderId="11" xfId="0" applyNumberFormat="1" applyBorder="1" applyAlignment="1">
      <alignment horizontal="center"/>
    </xf>
    <xf numFmtId="14" fontId="0" fillId="0" borderId="11" xfId="0" applyNumberFormat="1" applyBorder="1" applyAlignment="1">
      <alignment horizontal="center" vertical="center" wrapText="1"/>
    </xf>
    <xf numFmtId="14" fontId="3" fillId="0" borderId="0" xfId="0" applyNumberFormat="1" applyFont="1" applyAlignment="1">
      <alignment horizontal="center"/>
    </xf>
    <xf numFmtId="0" fontId="0" fillId="0" borderId="9" xfId="0" applyBorder="1" applyAlignment="1">
      <alignment horizontal="center"/>
    </xf>
    <xf numFmtId="0" fontId="0" fillId="0" borderId="9" xfId="0" applyBorder="1" applyAlignment="1">
      <alignment horizontal="left" wrapText="1"/>
    </xf>
    <xf numFmtId="0" fontId="7" fillId="0" borderId="8" xfId="0" applyFont="1" applyBorder="1" applyAlignment="1">
      <alignment horizontal="left" vertical="center" wrapText="1"/>
    </xf>
    <xf numFmtId="0" fontId="3" fillId="0" borderId="33" xfId="0" applyFont="1" applyBorder="1"/>
    <xf numFmtId="0" fontId="15" fillId="0" borderId="8" xfId="0" applyFont="1" applyBorder="1" applyAlignment="1">
      <alignment horizontal="left" vertical="center" wrapText="1"/>
    </xf>
    <xf numFmtId="0" fontId="2" fillId="0" borderId="8" xfId="0" applyFont="1" applyBorder="1" applyAlignment="1">
      <alignment horizontal="center" vertical="center"/>
    </xf>
    <xf numFmtId="0" fontId="0" fillId="9" borderId="8" xfId="0" applyFill="1" applyBorder="1" applyAlignment="1">
      <alignment horizontal="center" vertical="center"/>
    </xf>
    <xf numFmtId="0" fontId="0" fillId="7" borderId="8" xfId="0" applyFill="1" applyBorder="1" applyAlignment="1">
      <alignment horizontal="center" vertical="center"/>
    </xf>
    <xf numFmtId="0" fontId="9" fillId="13" borderId="27" xfId="0" applyFont="1" applyFill="1" applyBorder="1" applyAlignment="1">
      <alignment vertical="center"/>
    </xf>
    <xf numFmtId="0" fontId="9" fillId="13" borderId="21" xfId="0" applyFont="1" applyFill="1" applyBorder="1" applyAlignment="1">
      <alignment vertical="center"/>
    </xf>
    <xf numFmtId="0" fontId="10" fillId="0" borderId="22" xfId="0" applyFont="1" applyBorder="1" applyAlignment="1">
      <alignment vertical="center"/>
    </xf>
    <xf numFmtId="0" fontId="9" fillId="13" borderId="23" xfId="0" applyFont="1" applyFill="1" applyBorder="1" applyAlignment="1">
      <alignment vertical="center"/>
    </xf>
    <xf numFmtId="0" fontId="9" fillId="13" borderId="22" xfId="0" applyFont="1" applyFill="1" applyBorder="1" applyAlignment="1">
      <alignment vertical="center"/>
    </xf>
    <xf numFmtId="0" fontId="9" fillId="13" borderId="8" xfId="0" applyFont="1" applyFill="1" applyBorder="1" applyAlignment="1">
      <alignment vertical="center"/>
    </xf>
    <xf numFmtId="0" fontId="9" fillId="17" borderId="32" xfId="0" applyFont="1" applyFill="1" applyBorder="1" applyAlignment="1">
      <alignment vertical="center"/>
    </xf>
    <xf numFmtId="0" fontId="3" fillId="0" borderId="33" xfId="0" applyFont="1" applyBorder="1" applyAlignment="1">
      <alignment vertical="center"/>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19" fillId="0" borderId="18" xfId="0" applyFont="1" applyBorder="1" applyAlignment="1">
      <alignment horizontal="center" vertical="center"/>
    </xf>
    <xf numFmtId="0" fontId="3" fillId="0" borderId="8" xfId="0" applyFont="1" applyBorder="1" applyAlignment="1">
      <alignment horizontal="center" vertical="center" wrapText="1"/>
    </xf>
    <xf numFmtId="0" fontId="9" fillId="17" borderId="34" xfId="0" applyFont="1" applyFill="1" applyBorder="1"/>
    <xf numFmtId="14" fontId="0" fillId="0" borderId="12" xfId="0" applyNumberFormat="1" applyBorder="1" applyAlignment="1">
      <alignment horizontal="center"/>
    </xf>
    <xf numFmtId="0" fontId="7" fillId="0" borderId="9" xfId="0" applyFont="1" applyBorder="1" applyAlignment="1">
      <alignment horizontal="left" vertical="center" wrapText="1"/>
    </xf>
    <xf numFmtId="0" fontId="19" fillId="0" borderId="18" xfId="0" applyFont="1" applyBorder="1" applyAlignment="1">
      <alignment horizontal="center" vertical="center" wrapText="1"/>
    </xf>
    <xf numFmtId="0" fontId="17" fillId="0" borderId="8" xfId="0" applyFont="1" applyBorder="1" applyAlignment="1">
      <alignment wrapText="1"/>
    </xf>
    <xf numFmtId="0" fontId="0" fillId="0" borderId="30" xfId="0" applyBorder="1"/>
    <xf numFmtId="14" fontId="0" fillId="0" borderId="8" xfId="0" applyNumberFormat="1" applyBorder="1"/>
    <xf numFmtId="0" fontId="3" fillId="0" borderId="33" xfId="0" applyFont="1" applyBorder="1" applyAlignment="1">
      <alignment vertical="center" wrapText="1"/>
    </xf>
    <xf numFmtId="0" fontId="19" fillId="0" borderId="8" xfId="0" applyFont="1" applyBorder="1" applyAlignment="1">
      <alignment horizontal="center" vertical="center"/>
    </xf>
    <xf numFmtId="0" fontId="19" fillId="0" borderId="8" xfId="0" applyFont="1" applyBorder="1" applyAlignment="1">
      <alignment horizontal="center" vertical="center" wrapText="1"/>
    </xf>
    <xf numFmtId="0" fontId="3" fillId="0" borderId="0" xfId="0" applyFont="1" applyAlignment="1">
      <alignment wrapText="1"/>
    </xf>
    <xf numFmtId="0" fontId="3" fillId="0" borderId="8" xfId="0" applyFont="1" applyBorder="1" applyAlignment="1">
      <alignment horizontal="left" vertical="center" wrapText="1"/>
    </xf>
    <xf numFmtId="0" fontId="3" fillId="0" borderId="23" xfId="0" applyFont="1" applyBorder="1" applyAlignment="1">
      <alignment vertical="center"/>
    </xf>
    <xf numFmtId="0" fontId="3" fillId="0" borderId="22" xfId="0" applyFont="1" applyBorder="1" applyAlignment="1">
      <alignment vertical="center"/>
    </xf>
    <xf numFmtId="14" fontId="3" fillId="0" borderId="22" xfId="0" applyNumberFormat="1" applyFont="1" applyBorder="1" applyAlignment="1">
      <alignment vertical="center"/>
    </xf>
    <xf numFmtId="0" fontId="19" fillId="0" borderId="9" xfId="0" applyFont="1" applyBorder="1" applyAlignment="1">
      <alignment horizontal="left" vertical="center" wrapText="1"/>
    </xf>
    <xf numFmtId="14" fontId="0" fillId="0" borderId="13" xfId="0" applyNumberFormat="1" applyBorder="1" applyAlignment="1">
      <alignment horizontal="center" vertical="center"/>
    </xf>
    <xf numFmtId="0" fontId="3" fillId="0" borderId="9" xfId="0" applyFont="1" applyBorder="1" applyAlignment="1">
      <alignment horizontal="left" vertical="center" wrapText="1"/>
    </xf>
    <xf numFmtId="0" fontId="0" fillId="0" borderId="10" xfId="0" applyBorder="1" applyAlignment="1">
      <alignment vertical="center" wrapText="1"/>
    </xf>
    <xf numFmtId="0" fontId="3" fillId="0" borderId="8" xfId="0" applyFont="1" applyBorder="1" applyAlignment="1">
      <alignment vertical="center" wrapText="1"/>
    </xf>
    <xf numFmtId="0" fontId="3" fillId="0" borderId="18" xfId="0" applyFont="1" applyBorder="1" applyAlignment="1">
      <alignment vertical="center" wrapText="1"/>
    </xf>
    <xf numFmtId="0" fontId="0" fillId="8" borderId="1" xfId="0" applyFill="1" applyBorder="1" applyAlignment="1">
      <alignment wrapText="1"/>
    </xf>
    <xf numFmtId="0" fontId="0" fillId="0" borderId="13" xfId="0" applyBorder="1" applyAlignment="1">
      <alignment vertical="center"/>
    </xf>
    <xf numFmtId="0" fontId="22" fillId="0" borderId="0" xfId="0" applyFont="1"/>
    <xf numFmtId="0" fontId="19" fillId="0" borderId="8" xfId="0" applyFont="1" applyBorder="1" applyAlignment="1">
      <alignment horizontal="left" vertical="center" wrapText="1"/>
    </xf>
    <xf numFmtId="0" fontId="0" fillId="0" borderId="19" xfId="0" applyBorder="1"/>
    <xf numFmtId="0" fontId="0" fillId="0" borderId="13" xfId="0" applyBorder="1"/>
    <xf numFmtId="0" fontId="3" fillId="0" borderId="9" xfId="0" applyFont="1" applyBorder="1" applyAlignment="1">
      <alignment wrapText="1"/>
    </xf>
    <xf numFmtId="0" fontId="0" fillId="0" borderId="35" xfId="0" applyBorder="1"/>
    <xf numFmtId="0" fontId="6" fillId="0" borderId="8" xfId="0" applyFont="1" applyBorder="1"/>
    <xf numFmtId="0" fontId="0" fillId="0" borderId="12" xfId="0" applyBorder="1" applyAlignment="1">
      <alignment wrapText="1"/>
    </xf>
    <xf numFmtId="0" fontId="2" fillId="4" borderId="8" xfId="0" applyFont="1" applyFill="1" applyBorder="1" applyAlignment="1">
      <alignment vertical="center" wrapText="1"/>
    </xf>
    <xf numFmtId="0" fontId="23" fillId="0" borderId="8" xfId="0" applyFont="1" applyBorder="1" applyAlignment="1">
      <alignment vertical="center"/>
    </xf>
    <xf numFmtId="0" fontId="24" fillId="0" borderId="8" xfId="0" applyFont="1" applyBorder="1" applyAlignment="1">
      <alignment vertical="center"/>
    </xf>
    <xf numFmtId="0" fontId="0" fillId="0" borderId="11" xfId="0" applyBorder="1" applyAlignment="1">
      <alignment horizontal="left" vertical="center" wrapText="1"/>
    </xf>
    <xf numFmtId="0" fontId="0" fillId="0" borderId="0" xfId="0" applyAlignment="1">
      <alignment horizontal="left" vertical="center"/>
    </xf>
    <xf numFmtId="0" fontId="0" fillId="0" borderId="12" xfId="0" applyBorder="1" applyAlignment="1">
      <alignment horizontal="left" vertical="center" wrapText="1"/>
    </xf>
    <xf numFmtId="0" fontId="0" fillId="0" borderId="15" xfId="0" applyBorder="1" applyAlignment="1">
      <alignment horizontal="left" vertical="center" wrapText="1"/>
    </xf>
    <xf numFmtId="0" fontId="0" fillId="0" borderId="36" xfId="0" applyBorder="1" applyAlignment="1">
      <alignment vertical="center"/>
    </xf>
    <xf numFmtId="0" fontId="23" fillId="0" borderId="9" xfId="0" applyFont="1" applyBorder="1" applyAlignment="1">
      <alignment vertical="center"/>
    </xf>
    <xf numFmtId="0" fontId="24" fillId="0" borderId="8" xfId="0" applyFont="1" applyBorder="1" applyAlignment="1">
      <alignment wrapText="1"/>
    </xf>
    <xf numFmtId="14" fontId="0" fillId="0" borderId="9" xfId="0" applyNumberFormat="1" applyBorder="1" applyAlignment="1">
      <alignment vertical="center"/>
    </xf>
    <xf numFmtId="0" fontId="24" fillId="0" borderId="8" xfId="0" applyFont="1" applyBorder="1" applyAlignment="1">
      <alignment vertical="top" wrapText="1"/>
    </xf>
    <xf numFmtId="0" fontId="2" fillId="12" borderId="1" xfId="0" applyFont="1" applyFill="1" applyBorder="1" applyAlignment="1">
      <alignment horizontal="center"/>
    </xf>
    <xf numFmtId="0" fontId="2" fillId="12" borderId="1" xfId="0" applyFont="1" applyFill="1" applyBorder="1" applyAlignment="1">
      <alignment horizontal="center" vertical="center"/>
    </xf>
    <xf numFmtId="0" fontId="0" fillId="0" borderId="1" xfId="0" applyBorder="1" applyAlignment="1">
      <alignment vertical="center"/>
    </xf>
    <xf numFmtId="0" fontId="0" fillId="11" borderId="1" xfId="0" applyFill="1" applyBorder="1" applyAlignment="1">
      <alignment horizontal="left" vertical="center"/>
    </xf>
    <xf numFmtId="0" fontId="0" fillId="11" borderId="1" xfId="0" applyFill="1" applyBorder="1" applyAlignment="1">
      <alignment vertical="center"/>
    </xf>
    <xf numFmtId="0" fontId="25" fillId="0" borderId="1" xfId="0" applyFont="1" applyBorder="1" applyAlignment="1">
      <alignment horizontal="left" vertical="top"/>
    </xf>
    <xf numFmtId="0" fontId="24" fillId="0" borderId="9" xfId="0" applyFont="1" applyBorder="1" applyAlignment="1">
      <alignment vertical="top" wrapText="1"/>
    </xf>
    <xf numFmtId="0" fontId="12" fillId="0" borderId="1" xfId="0" applyFont="1" applyBorder="1" applyAlignment="1">
      <alignment wrapText="1"/>
    </xf>
    <xf numFmtId="0" fontId="12" fillId="0" borderId="7" xfId="0" applyFont="1" applyBorder="1" applyAlignment="1">
      <alignment wrapText="1"/>
    </xf>
    <xf numFmtId="0" fontId="19" fillId="0" borderId="9" xfId="0" applyFont="1" applyBorder="1" applyAlignment="1">
      <alignment vertical="center" wrapText="1"/>
    </xf>
    <xf numFmtId="0" fontId="0" fillId="0" borderId="8" xfId="0" applyBorder="1" applyAlignment="1">
      <alignment horizontal="center" vertical="top" wrapText="1"/>
    </xf>
    <xf numFmtId="0" fontId="9" fillId="17" borderId="8" xfId="0" applyFont="1" applyFill="1" applyBorder="1"/>
    <xf numFmtId="0" fontId="3" fillId="0" borderId="8" xfId="0" applyFont="1" applyBorder="1" applyAlignment="1">
      <alignment vertical="center"/>
    </xf>
    <xf numFmtId="0" fontId="18" fillId="0" borderId="8" xfId="0" applyFont="1" applyBorder="1"/>
    <xf numFmtId="0" fontId="2" fillId="0" borderId="8" xfId="0" applyFont="1" applyBorder="1" applyAlignment="1">
      <alignment wrapText="1"/>
    </xf>
    <xf numFmtId="0" fontId="6" fillId="0" borderId="0" xfId="0" applyFont="1"/>
    <xf numFmtId="0" fontId="3" fillId="0" borderId="9" xfId="0" applyFont="1" applyBorder="1" applyAlignment="1">
      <alignment vertical="center" wrapText="1"/>
    </xf>
    <xf numFmtId="0" fontId="8" fillId="0" borderId="8" xfId="0" applyFont="1" applyBorder="1" applyAlignment="1">
      <alignment vertical="center"/>
    </xf>
    <xf numFmtId="0" fontId="8" fillId="0" borderId="8" xfId="0" applyFont="1" applyBorder="1" applyAlignment="1">
      <alignment horizontal="center"/>
    </xf>
    <xf numFmtId="0" fontId="7" fillId="0" borderId="8" xfId="0" applyFont="1" applyBorder="1"/>
    <xf numFmtId="0" fontId="8" fillId="0" borderId="8" xfId="0" applyFont="1" applyBorder="1" applyAlignment="1">
      <alignment horizontal="left" vertical="top" wrapText="1"/>
    </xf>
    <xf numFmtId="0" fontId="8" fillId="0" borderId="1" xfId="0" applyFont="1" applyBorder="1" applyAlignment="1">
      <alignment wrapText="1"/>
    </xf>
    <xf numFmtId="0" fontId="7" fillId="0" borderId="9" xfId="0" applyFont="1" applyBorder="1"/>
    <xf numFmtId="0" fontId="0" fillId="0" borderId="9" xfId="0" applyBorder="1" applyAlignment="1">
      <alignment vertical="top" wrapText="1"/>
    </xf>
    <xf numFmtId="0" fontId="12" fillId="0" borderId="1" xfId="0" applyFont="1" applyBorder="1"/>
    <xf numFmtId="0" fontId="3" fillId="0" borderId="11" xfId="0" applyFont="1" applyBorder="1" applyAlignment="1">
      <alignment vertical="center" wrapText="1"/>
    </xf>
    <xf numFmtId="0" fontId="19" fillId="0" borderId="11" xfId="0" applyFont="1" applyBorder="1" applyAlignment="1">
      <alignment vertical="center" wrapText="1"/>
    </xf>
    <xf numFmtId="0" fontId="19" fillId="0" borderId="1" xfId="0" applyFont="1" applyBorder="1" applyAlignment="1">
      <alignment wrapText="1"/>
    </xf>
    <xf numFmtId="0" fontId="27" fillId="0" borderId="0" xfId="0" applyFont="1" applyAlignment="1">
      <alignment vertical="top" wrapText="1"/>
    </xf>
    <xf numFmtId="0" fontId="12" fillId="0" borderId="1" xfId="0" applyFont="1" applyBorder="1" applyAlignment="1">
      <alignment vertical="center" wrapText="1"/>
    </xf>
    <xf numFmtId="0" fontId="19" fillId="0" borderId="1" xfId="0" applyFont="1" applyBorder="1" applyAlignment="1">
      <alignment vertical="center" wrapText="1"/>
    </xf>
    <xf numFmtId="0" fontId="16" fillId="0" borderId="8" xfId="0" applyFont="1" applyBorder="1" applyAlignment="1">
      <alignment vertical="center" wrapText="1"/>
    </xf>
    <xf numFmtId="0" fontId="16" fillId="0" borderId="8" xfId="0" applyFont="1" applyBorder="1" applyAlignment="1">
      <alignment vertical="top" wrapText="1"/>
    </xf>
    <xf numFmtId="0" fontId="3" fillId="0" borderId="0" xfId="0" applyFont="1" applyAlignment="1">
      <alignment horizontal="left" vertical="center"/>
    </xf>
    <xf numFmtId="0" fontId="3" fillId="0" borderId="0" xfId="0" applyFont="1" applyAlignment="1">
      <alignment horizontal="center" vertical="center"/>
    </xf>
    <xf numFmtId="0" fontId="10" fillId="0" borderId="24" xfId="0" applyFont="1" applyBorder="1" applyAlignment="1">
      <alignment vertical="center"/>
    </xf>
    <xf numFmtId="0" fontId="10" fillId="0" borderId="25" xfId="0" applyFont="1" applyBorder="1" applyAlignment="1">
      <alignment vertical="center"/>
    </xf>
    <xf numFmtId="0" fontId="10" fillId="0" borderId="26" xfId="0" applyFont="1" applyBorder="1" applyAlignment="1">
      <alignment vertical="center"/>
    </xf>
    <xf numFmtId="0" fontId="10" fillId="0" borderId="27" xfId="0" applyFont="1" applyBorder="1" applyAlignment="1">
      <alignment horizontal="center" vertical="center"/>
    </xf>
    <xf numFmtId="0" fontId="10" fillId="0" borderId="29" xfId="0" applyFont="1" applyBorder="1" applyAlignment="1">
      <alignment horizontal="center" vertical="center"/>
    </xf>
    <xf numFmtId="0" fontId="10" fillId="0" borderId="23" xfId="0" applyFont="1" applyBorder="1" applyAlignment="1">
      <alignment horizontal="center" vertical="center"/>
    </xf>
    <xf numFmtId="14" fontId="2" fillId="3" borderId="2" xfId="0" applyNumberFormat="1" applyFont="1" applyFill="1" applyBorder="1" applyAlignment="1">
      <alignment horizontal="center"/>
    </xf>
    <xf numFmtId="0" fontId="2" fillId="3" borderId="3" xfId="0" applyFont="1" applyFill="1" applyBorder="1" applyAlignment="1">
      <alignment horizontal="center"/>
    </xf>
    <xf numFmtId="0" fontId="2" fillId="3" borderId="4" xfId="0" applyFont="1" applyFill="1" applyBorder="1" applyAlignment="1">
      <alignment horizontal="center"/>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9" xfId="0" applyBorder="1" applyAlignment="1">
      <alignment horizontal="center" vertical="center"/>
    </xf>
    <xf numFmtId="0" fontId="0" fillId="0" borderId="10" xfId="0" applyBorder="1" applyAlignment="1">
      <alignment horizontal="center" vertical="center"/>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14" fontId="0" fillId="0" borderId="9" xfId="0" applyNumberFormat="1" applyBorder="1" applyAlignment="1">
      <alignment horizontal="center" vertical="center"/>
    </xf>
    <xf numFmtId="14" fontId="0" fillId="0" borderId="10" xfId="0" applyNumberFormat="1" applyBorder="1" applyAlignment="1">
      <alignment horizontal="center" vertical="center"/>
    </xf>
    <xf numFmtId="0" fontId="0" fillId="0" borderId="11" xfId="0" applyBorder="1" applyAlignment="1">
      <alignment horizontal="center" vertical="center"/>
    </xf>
    <xf numFmtId="14" fontId="0" fillId="0" borderId="11" xfId="0" applyNumberFormat="1" applyBorder="1" applyAlignment="1">
      <alignment horizontal="center" vertical="center"/>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3" fillId="0" borderId="11" xfId="0" applyFont="1" applyBorder="1" applyAlignment="1">
      <alignment horizontal="left" vertical="top" wrapText="1"/>
    </xf>
    <xf numFmtId="0" fontId="7" fillId="0" borderId="13" xfId="0" applyFont="1" applyBorder="1" applyAlignment="1">
      <alignment vertical="center"/>
    </xf>
    <xf numFmtId="0" fontId="7" fillId="0" borderId="15" xfId="0" applyFont="1" applyBorder="1" applyAlignment="1">
      <alignment vertical="center"/>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6" fillId="0" borderId="9" xfId="0" applyFont="1" applyBorder="1" applyAlignment="1">
      <alignment horizontal="center" vertical="center"/>
    </xf>
    <xf numFmtId="0" fontId="6" fillId="0" borderId="11" xfId="0" applyFont="1" applyBorder="1" applyAlignment="1">
      <alignment horizontal="center" vertical="center"/>
    </xf>
    <xf numFmtId="14" fontId="0" fillId="0" borderId="8" xfId="0" applyNumberFormat="1" applyBorder="1" applyAlignment="1">
      <alignment horizontal="center" vertical="center"/>
    </xf>
    <xf numFmtId="0" fontId="0" fillId="0" borderId="8" xfId="0" applyBorder="1" applyAlignment="1">
      <alignment horizontal="center" vertical="center"/>
    </xf>
    <xf numFmtId="0" fontId="6" fillId="0" borderId="8" xfId="0" applyFont="1" applyBorder="1" applyAlignment="1">
      <alignment horizontal="center" vertical="center"/>
    </xf>
    <xf numFmtId="0" fontId="3" fillId="0" borderId="8" xfId="0" applyFont="1" applyBorder="1" applyAlignment="1">
      <alignment horizontal="center" wrapText="1"/>
    </xf>
    <xf numFmtId="0" fontId="0" fillId="0" borderId="8" xfId="0" applyBorder="1" applyAlignment="1">
      <alignment horizontal="center" vertical="center" wrapText="1"/>
    </xf>
    <xf numFmtId="0" fontId="0" fillId="0" borderId="12" xfId="0" applyBorder="1" applyAlignment="1">
      <alignment horizontal="center" vertical="center"/>
    </xf>
    <xf numFmtId="0" fontId="0" fillId="0" borderId="8" xfId="0" applyBorder="1" applyAlignment="1">
      <alignment horizontal="center"/>
    </xf>
    <xf numFmtId="14" fontId="0" fillId="0" borderId="8" xfId="0" applyNumberFormat="1" applyBorder="1" applyAlignment="1">
      <alignment horizontal="center"/>
    </xf>
    <xf numFmtId="0" fontId="6" fillId="0" borderId="9" xfId="0" applyFont="1" applyBorder="1" applyAlignment="1">
      <alignment horizontal="left" vertical="center" wrapText="1"/>
    </xf>
    <xf numFmtId="0" fontId="6" fillId="0" borderId="11" xfId="0" applyFont="1" applyBorder="1" applyAlignment="1">
      <alignment horizontal="left" vertical="center" wrapText="1"/>
    </xf>
    <xf numFmtId="0" fontId="0" fillId="0" borderId="9" xfId="0" applyBorder="1" applyAlignment="1">
      <alignment horizontal="center"/>
    </xf>
    <xf numFmtId="0" fontId="0" fillId="0" borderId="11"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8" xfId="0" applyBorder="1" applyAlignment="1">
      <alignment horizontal="left" vertical="center"/>
    </xf>
    <xf numFmtId="14" fontId="0" fillId="0" borderId="15" xfId="0" applyNumberFormat="1"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19" fillId="0" borderId="9" xfId="0" applyFont="1" applyBorder="1" applyAlignment="1">
      <alignment horizontal="center" vertical="center" wrapText="1"/>
    </xf>
    <xf numFmtId="0" fontId="19" fillId="0" borderId="11" xfId="0" applyFont="1" applyBorder="1" applyAlignment="1">
      <alignment horizontal="center" vertical="center" wrapText="1"/>
    </xf>
    <xf numFmtId="14" fontId="8" fillId="0" borderId="8" xfId="0" applyNumberFormat="1" applyFont="1" applyBorder="1" applyAlignment="1">
      <alignment horizontal="center" vertical="center" wrapText="1"/>
    </xf>
    <xf numFmtId="14" fontId="8" fillId="0" borderId="9" xfId="0" applyNumberFormat="1" applyFont="1" applyBorder="1" applyAlignment="1">
      <alignment horizontal="center" vertical="center" wrapText="1"/>
    </xf>
    <xf numFmtId="0" fontId="0" fillId="0" borderId="1" xfId="0" applyBorder="1" applyAlignment="1">
      <alignment vertical="center"/>
    </xf>
    <xf numFmtId="0" fontId="0" fillId="0" borderId="5" xfId="0" applyBorder="1" applyAlignment="1">
      <alignment vertical="center"/>
    </xf>
    <xf numFmtId="0" fontId="0" fillId="0" borderId="7" xfId="0" applyBorder="1" applyAlignment="1">
      <alignment vertical="center"/>
    </xf>
    <xf numFmtId="0" fontId="2" fillId="15" borderId="2" xfId="0" applyFont="1" applyFill="1" applyBorder="1" applyAlignment="1">
      <alignment horizontal="center"/>
    </xf>
    <xf numFmtId="0" fontId="2" fillId="15" borderId="3" xfId="0" applyFont="1" applyFill="1" applyBorder="1" applyAlignment="1">
      <alignment horizontal="center"/>
    </xf>
    <xf numFmtId="0" fontId="2" fillId="15" borderId="28" xfId="0" applyFont="1" applyFill="1" applyBorder="1" applyAlignment="1">
      <alignment horizontal="center"/>
    </xf>
    <xf numFmtId="0" fontId="15" fillId="12" borderId="8" xfId="0" applyFont="1" applyFill="1" applyBorder="1" applyAlignment="1">
      <alignment horizontal="center" vertical="center" wrapText="1"/>
    </xf>
    <xf numFmtId="0" fontId="0" fillId="0" borderId="16" xfId="0" applyBorder="1" applyAlignment="1">
      <alignment horizontal="center" vertical="center"/>
    </xf>
    <xf numFmtId="0" fontId="1" fillId="0" borderId="9"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hyperlink" Target="https://speridiantec.sharepoint.com/:x:/r/sites/EEHPEAutomation/_layouts/15/Doc.aspx?action=edit&amp;sourcedoc=%7B2006c189-2f87-44c8-8156-d23f4938b2bd%7D&amp;wdOrigin=TEAMS-ELECTRON.teamsSdk.openFilePreview&amp;wdExp=TEAMS-CONTROL&amp;web=1"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speridiantec.sharepoint.com/:x:/r/sites/EEHPEAutomation/_layouts/15/Doc.aspx?action=edit&amp;sourcedoc=%7B2006c189-2f87-44c8-8156-d23f4938b2bd%7D&amp;wdOrigin=TEAMS-ELECTRON.teamsSdk.openFilePreview&amp;wdExp=TEAMS-CONTROL&amp;web=1"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speridiantec.sharepoint.com/:x:/r/sites/EEHPEAutomation/_layouts/15/Doc.aspx?action=edit&amp;sourcedoc=%7B2006c189-2f87-44c8-8156-d23f4938b2bd%7D&amp;wdOrigin=TEAMS-ELECTRON.teamsSdk.openFilePreview&amp;wdExp=TEAMS-CONTROL&amp;web=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speridiantec.sharepoint.com/:x:/r/sites/EEHPEAutomation/_layouts/15/Doc.aspx?action=edit&amp;sourcedoc=%7B2006c189-2f87-44c8-8156-d23f4938b2bd%7D&amp;wdOrigin=TEAMS-ELECTRON.teamsSdk.openFilePreview&amp;wdExp=TEAMS-CONTROL&amp;web=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3EDBA-513E-4918-951B-23EA8CF5946B}">
  <dimension ref="A1:M68"/>
  <sheetViews>
    <sheetView topLeftCell="A27" workbookViewId="0">
      <selection activeCell="M33" sqref="M33"/>
    </sheetView>
  </sheetViews>
  <sheetFormatPr defaultRowHeight="15"/>
  <cols>
    <col min="1" max="1" width="11.28515625" style="15" customWidth="1"/>
    <col min="2" max="2" width="9.7109375" style="15" bestFit="1" customWidth="1"/>
    <col min="3" max="3" width="11.42578125" style="15" bestFit="1" customWidth="1"/>
    <col min="4" max="4" width="11.42578125" bestFit="1" customWidth="1"/>
    <col min="5" max="6" width="14.85546875" bestFit="1" customWidth="1"/>
    <col min="7" max="7" width="41" bestFit="1" customWidth="1"/>
    <col min="8" max="8" width="32.28515625" bestFit="1" customWidth="1"/>
    <col min="9" max="9" width="26.42578125" bestFit="1" customWidth="1"/>
    <col min="10" max="10" width="15.28515625" customWidth="1"/>
    <col min="11" max="11" width="33.7109375" style="15" customWidth="1"/>
    <col min="12" max="12" width="26.140625" bestFit="1" customWidth="1"/>
    <col min="13" max="13" width="98.140625" customWidth="1"/>
  </cols>
  <sheetData>
    <row r="1" spans="1:11" ht="30.75">
      <c r="A1" s="191" t="s">
        <v>0</v>
      </c>
      <c r="B1" s="191" t="s">
        <v>1</v>
      </c>
      <c r="C1" s="191" t="s">
        <v>2</v>
      </c>
      <c r="D1" s="39" t="s">
        <v>3</v>
      </c>
      <c r="E1" s="39" t="s">
        <v>4</v>
      </c>
      <c r="F1" s="39" t="s">
        <v>5</v>
      </c>
      <c r="G1" s="39" t="s">
        <v>6</v>
      </c>
      <c r="H1" s="39" t="s">
        <v>7</v>
      </c>
      <c r="I1" s="39" t="s">
        <v>8</v>
      </c>
      <c r="J1" s="73" t="s">
        <v>9</v>
      </c>
      <c r="K1" s="191" t="s">
        <v>10</v>
      </c>
    </row>
    <row r="2" spans="1:11">
      <c r="A2" s="12" t="s">
        <v>11</v>
      </c>
      <c r="B2" s="12" t="s">
        <v>12</v>
      </c>
      <c r="C2" s="12" t="s">
        <v>13</v>
      </c>
      <c r="D2" s="40">
        <v>34</v>
      </c>
      <c r="E2" s="40">
        <v>34</v>
      </c>
      <c r="F2" s="40">
        <v>34</v>
      </c>
      <c r="G2" s="40">
        <v>0</v>
      </c>
      <c r="H2" s="40">
        <v>0</v>
      </c>
      <c r="I2" s="40">
        <f>H2/5</f>
        <v>0</v>
      </c>
      <c r="J2" s="40"/>
      <c r="K2" s="12"/>
    </row>
    <row r="3" spans="1:11">
      <c r="A3" s="12" t="s">
        <v>11</v>
      </c>
      <c r="B3" s="12" t="s">
        <v>14</v>
      </c>
      <c r="C3" s="12" t="s">
        <v>13</v>
      </c>
      <c r="D3" s="40"/>
      <c r="E3" s="40"/>
      <c r="F3" s="40"/>
      <c r="G3" s="40"/>
      <c r="H3" s="40"/>
      <c r="I3" s="40"/>
      <c r="J3" s="40"/>
      <c r="K3" s="12"/>
    </row>
    <row r="4" spans="1:11" ht="121.5">
      <c r="A4" s="192" t="s">
        <v>11</v>
      </c>
      <c r="B4" s="192" t="s">
        <v>15</v>
      </c>
      <c r="C4" s="192" t="s">
        <v>13</v>
      </c>
      <c r="D4" s="40">
        <v>14</v>
      </c>
      <c r="E4" s="40"/>
      <c r="F4" s="12">
        <v>12</v>
      </c>
      <c r="G4" s="40">
        <v>2</v>
      </c>
      <c r="H4" s="40">
        <f>D4-F4</f>
        <v>2</v>
      </c>
      <c r="I4" s="40"/>
      <c r="J4" s="40" t="s">
        <v>16</v>
      </c>
      <c r="K4" s="190" t="s">
        <v>17</v>
      </c>
    </row>
    <row r="5" spans="1:11">
      <c r="A5" s="12" t="s">
        <v>18</v>
      </c>
      <c r="B5" s="12" t="s">
        <v>12</v>
      </c>
      <c r="C5" s="12" t="s">
        <v>13</v>
      </c>
      <c r="D5" s="40">
        <v>29</v>
      </c>
      <c r="E5" s="40">
        <v>29</v>
      </c>
      <c r="F5" s="40">
        <v>20</v>
      </c>
      <c r="G5" s="40">
        <v>2</v>
      </c>
      <c r="H5" s="40">
        <f>E5-F5</f>
        <v>9</v>
      </c>
      <c r="I5" s="40">
        <f>H5/2</f>
        <v>4.5</v>
      </c>
      <c r="J5" s="40"/>
      <c r="K5" s="12" t="s">
        <v>19</v>
      </c>
    </row>
    <row r="6" spans="1:11">
      <c r="A6" s="12" t="s">
        <v>18</v>
      </c>
      <c r="B6" s="12" t="s">
        <v>14</v>
      </c>
      <c r="C6" s="12" t="s">
        <v>13</v>
      </c>
      <c r="D6" s="40"/>
      <c r="E6" s="40"/>
      <c r="F6" s="40"/>
      <c r="G6" s="40"/>
      <c r="H6" s="40"/>
      <c r="I6" s="40"/>
      <c r="J6" s="40"/>
      <c r="K6" s="12"/>
    </row>
    <row r="7" spans="1:11" ht="167.25">
      <c r="A7" s="192" t="s">
        <v>18</v>
      </c>
      <c r="B7" s="192" t="s">
        <v>15</v>
      </c>
      <c r="C7" s="192" t="s">
        <v>13</v>
      </c>
      <c r="D7" s="40">
        <v>16</v>
      </c>
      <c r="E7" s="40"/>
      <c r="F7" s="40">
        <v>12</v>
      </c>
      <c r="G7" s="40"/>
      <c r="H7" s="40">
        <f>D7-F7</f>
        <v>4</v>
      </c>
      <c r="I7" s="40"/>
      <c r="J7" s="40" t="s">
        <v>20</v>
      </c>
      <c r="K7" s="190" t="s">
        <v>21</v>
      </c>
    </row>
    <row r="8" spans="1:11">
      <c r="A8" s="193" t="s">
        <v>22</v>
      </c>
      <c r="B8" s="193" t="s">
        <v>12</v>
      </c>
      <c r="C8" s="193" t="s">
        <v>13</v>
      </c>
      <c r="D8" s="41">
        <v>21</v>
      </c>
      <c r="E8" s="41">
        <v>21</v>
      </c>
      <c r="F8" s="41">
        <v>16.5</v>
      </c>
      <c r="G8" s="41"/>
      <c r="H8" s="41">
        <f>E8-F8</f>
        <v>4.5</v>
      </c>
      <c r="I8" s="41">
        <f>H8/3</f>
        <v>1.5</v>
      </c>
      <c r="J8" s="41"/>
      <c r="K8" s="193"/>
    </row>
    <row r="9" spans="1:11">
      <c r="A9" s="193" t="s">
        <v>22</v>
      </c>
      <c r="B9" s="193" t="s">
        <v>14</v>
      </c>
      <c r="C9" s="193" t="s">
        <v>13</v>
      </c>
      <c r="D9" s="41"/>
      <c r="E9" s="41"/>
      <c r="F9" s="41"/>
      <c r="G9" s="41"/>
      <c r="H9" s="41"/>
      <c r="I9" s="41"/>
      <c r="J9" s="41"/>
      <c r="K9" s="193"/>
    </row>
    <row r="10" spans="1:11">
      <c r="A10" s="193" t="s">
        <v>22</v>
      </c>
      <c r="B10" s="193" t="s">
        <v>15</v>
      </c>
      <c r="C10" s="193" t="s">
        <v>13</v>
      </c>
      <c r="D10" s="41">
        <v>8</v>
      </c>
      <c r="E10" s="41"/>
      <c r="F10" s="41"/>
      <c r="G10" s="41"/>
      <c r="H10" s="41"/>
      <c r="I10" s="41"/>
      <c r="J10" s="41"/>
      <c r="K10" s="193"/>
    </row>
    <row r="11" spans="1:11">
      <c r="A11" s="152"/>
      <c r="B11" s="152"/>
      <c r="C11" s="152"/>
      <c r="D11" s="71"/>
      <c r="E11" s="71"/>
      <c r="F11" s="74"/>
      <c r="G11" s="72"/>
      <c r="H11" s="75"/>
      <c r="I11" s="74"/>
      <c r="J11" s="74"/>
      <c r="K11" s="152"/>
    </row>
    <row r="14" spans="1:11">
      <c r="A14" s="194" t="s">
        <v>23</v>
      </c>
      <c r="B14" s="195" t="s">
        <v>24</v>
      </c>
      <c r="C14" s="195" t="s">
        <v>25</v>
      </c>
      <c r="D14" s="76" t="s">
        <v>26</v>
      </c>
      <c r="E14" s="76" t="s">
        <v>27</v>
      </c>
      <c r="F14" s="76" t="s">
        <v>28</v>
      </c>
      <c r="G14" s="76" t="s">
        <v>29</v>
      </c>
    </row>
    <row r="15" spans="1:11">
      <c r="A15" s="284" t="s">
        <v>11</v>
      </c>
      <c r="B15" s="196" t="s">
        <v>12</v>
      </c>
      <c r="C15" s="196">
        <v>33</v>
      </c>
      <c r="D15" s="77">
        <v>32</v>
      </c>
      <c r="E15" s="77">
        <v>1</v>
      </c>
      <c r="F15" s="125">
        <v>0.16259259259259259</v>
      </c>
      <c r="G15" s="77"/>
    </row>
    <row r="16" spans="1:11">
      <c r="A16" s="285"/>
      <c r="B16" s="196" t="s">
        <v>14</v>
      </c>
      <c r="C16" s="196">
        <v>31</v>
      </c>
      <c r="D16" s="77">
        <v>29</v>
      </c>
      <c r="E16" s="77">
        <v>2</v>
      </c>
      <c r="F16" s="125">
        <v>0.16412037037037039</v>
      </c>
      <c r="G16" s="77"/>
    </row>
    <row r="17" spans="1:13">
      <c r="A17" s="285"/>
      <c r="B17" s="196" t="s">
        <v>15</v>
      </c>
      <c r="C17" s="196">
        <v>14</v>
      </c>
      <c r="D17" s="77">
        <v>12</v>
      </c>
      <c r="E17" s="77">
        <v>0</v>
      </c>
      <c r="F17" s="104" t="s">
        <v>16</v>
      </c>
      <c r="G17" s="40" t="s">
        <v>30</v>
      </c>
    </row>
    <row r="18" spans="1:13">
      <c r="A18" s="284" t="s">
        <v>18</v>
      </c>
      <c r="B18" s="196" t="s">
        <v>12</v>
      </c>
      <c r="C18" s="196">
        <v>25</v>
      </c>
      <c r="D18" s="77">
        <v>23</v>
      </c>
      <c r="E18" s="77">
        <v>2</v>
      </c>
      <c r="F18" s="125">
        <v>0.13541666666666666</v>
      </c>
      <c r="G18" s="77"/>
    </row>
    <row r="19" spans="1:13">
      <c r="A19" s="285"/>
      <c r="B19" s="196" t="s">
        <v>14</v>
      </c>
      <c r="C19" s="196">
        <v>24</v>
      </c>
      <c r="D19" s="77">
        <v>23</v>
      </c>
      <c r="E19" s="77">
        <v>1</v>
      </c>
      <c r="F19" s="125">
        <v>0.16319444444444445</v>
      </c>
      <c r="G19" s="77"/>
    </row>
    <row r="20" spans="1:13">
      <c r="A20" s="285"/>
      <c r="B20" s="196" t="s">
        <v>15</v>
      </c>
      <c r="C20" s="196">
        <v>16</v>
      </c>
      <c r="D20" s="77">
        <v>12</v>
      </c>
      <c r="E20" s="77">
        <v>0</v>
      </c>
      <c r="F20" s="105" t="s">
        <v>20</v>
      </c>
      <c r="G20" s="40" t="s">
        <v>31</v>
      </c>
    </row>
    <row r="21" spans="1:13">
      <c r="A21" s="284" t="s">
        <v>22</v>
      </c>
      <c r="B21" s="196" t="s">
        <v>12</v>
      </c>
      <c r="C21" s="196">
        <v>21</v>
      </c>
      <c r="D21" s="77">
        <v>16</v>
      </c>
      <c r="E21" s="77"/>
      <c r="F21" s="77"/>
      <c r="G21" s="287" t="s">
        <v>32</v>
      </c>
      <c r="L21" s="77"/>
    </row>
    <row r="22" spans="1:13">
      <c r="A22" s="285"/>
      <c r="B22" s="196" t="s">
        <v>14</v>
      </c>
      <c r="C22" s="196">
        <v>19</v>
      </c>
      <c r="D22" s="77">
        <v>11</v>
      </c>
      <c r="E22" s="77"/>
      <c r="F22" s="77"/>
      <c r="G22" s="288"/>
    </row>
    <row r="23" spans="1:13">
      <c r="A23" s="286"/>
      <c r="B23" s="196" t="s">
        <v>15</v>
      </c>
      <c r="C23" s="196">
        <v>9</v>
      </c>
      <c r="D23" s="77" t="s">
        <v>33</v>
      </c>
      <c r="E23" s="77"/>
      <c r="F23" s="77" t="s">
        <v>33</v>
      </c>
      <c r="G23" s="289"/>
    </row>
    <row r="24" spans="1:13">
      <c r="A24" s="197" t="s">
        <v>34</v>
      </c>
      <c r="B24" s="198" t="s">
        <v>33</v>
      </c>
      <c r="C24" s="198">
        <f>SUM(C15:C23)</f>
        <v>192</v>
      </c>
      <c r="D24" s="78">
        <f t="shared" ref="D24:E24" si="0">SUM(D15:D23)</f>
        <v>158</v>
      </c>
      <c r="E24" s="78">
        <f t="shared" si="0"/>
        <v>6</v>
      </c>
      <c r="F24" s="78"/>
      <c r="G24" s="78"/>
    </row>
    <row r="25" spans="1:13">
      <c r="A25" s="197" t="s">
        <v>35</v>
      </c>
      <c r="B25" s="198"/>
      <c r="C25" s="198"/>
      <c r="D25" s="107">
        <f>D24/C24</f>
        <v>0.82291666666666663</v>
      </c>
      <c r="E25" s="107">
        <f>E24/C24</f>
        <v>3.125E-2</v>
      </c>
    </row>
    <row r="28" spans="1:13">
      <c r="A28" s="199" t="s">
        <v>36</v>
      </c>
      <c r="B28" s="199" t="s">
        <v>37</v>
      </c>
      <c r="C28" s="199" t="s">
        <v>38</v>
      </c>
      <c r="D28" s="135" t="s">
        <v>39</v>
      </c>
      <c r="G28" s="171" t="s">
        <v>0</v>
      </c>
      <c r="H28" s="172" t="s">
        <v>40</v>
      </c>
      <c r="I28" s="172" t="s">
        <v>41</v>
      </c>
      <c r="J28" s="172" t="s">
        <v>42</v>
      </c>
      <c r="K28" s="200" t="s">
        <v>43</v>
      </c>
      <c r="L28" s="206" t="s">
        <v>44</v>
      </c>
      <c r="M28" s="206" t="s">
        <v>45</v>
      </c>
    </row>
    <row r="29" spans="1:13">
      <c r="A29" s="152" t="s">
        <v>46</v>
      </c>
      <c r="B29" s="152">
        <v>435</v>
      </c>
      <c r="C29" s="152">
        <v>197</v>
      </c>
      <c r="D29" s="136">
        <f>C29/B29</f>
        <v>0.45287356321839078</v>
      </c>
      <c r="G29" s="173" t="s">
        <v>47</v>
      </c>
      <c r="H29" s="174" t="s">
        <v>12</v>
      </c>
      <c r="I29" s="175">
        <v>45202</v>
      </c>
      <c r="J29" s="175">
        <v>45211</v>
      </c>
      <c r="K29" s="201"/>
      <c r="L29" s="201" t="s">
        <v>38</v>
      </c>
      <c r="M29" s="201"/>
    </row>
    <row r="30" spans="1:13">
      <c r="G30" s="173" t="s">
        <v>48</v>
      </c>
      <c r="H30" s="174" t="s">
        <v>49</v>
      </c>
      <c r="I30" s="175">
        <v>45202</v>
      </c>
      <c r="J30" s="175">
        <v>45211</v>
      </c>
      <c r="K30" s="201"/>
      <c r="L30" s="201" t="s">
        <v>50</v>
      </c>
      <c r="M30" s="201" t="s">
        <v>51</v>
      </c>
    </row>
    <row r="31" spans="1:13">
      <c r="G31" s="173" t="s">
        <v>52</v>
      </c>
      <c r="H31" s="174" t="s">
        <v>53</v>
      </c>
      <c r="I31" s="175">
        <v>45233</v>
      </c>
      <c r="J31" s="175">
        <v>45260</v>
      </c>
      <c r="K31" s="201">
        <v>1</v>
      </c>
      <c r="L31" s="201" t="s">
        <v>38</v>
      </c>
      <c r="M31" s="201"/>
    </row>
    <row r="32" spans="1:13">
      <c r="G32" s="173" t="s">
        <v>54</v>
      </c>
      <c r="H32" s="174" t="s">
        <v>12</v>
      </c>
      <c r="I32" s="175">
        <v>45229</v>
      </c>
      <c r="J32" s="175">
        <v>45240</v>
      </c>
      <c r="K32" s="201">
        <v>1</v>
      </c>
      <c r="L32" s="201" t="s">
        <v>38</v>
      </c>
      <c r="M32" s="201"/>
    </row>
    <row r="33" spans="7:13" ht="76.5">
      <c r="G33" s="173" t="s">
        <v>55</v>
      </c>
      <c r="H33" s="174" t="s">
        <v>12</v>
      </c>
      <c r="I33" s="175">
        <v>45210</v>
      </c>
      <c r="J33" s="175">
        <v>45240</v>
      </c>
      <c r="K33" s="201">
        <v>1</v>
      </c>
      <c r="L33" s="201" t="s">
        <v>38</v>
      </c>
      <c r="M33" s="213" t="s">
        <v>56</v>
      </c>
    </row>
    <row r="34" spans="7:13" ht="45.75">
      <c r="G34" s="173" t="s">
        <v>57</v>
      </c>
      <c r="H34" s="174" t="s">
        <v>12</v>
      </c>
      <c r="I34" s="175">
        <v>45229</v>
      </c>
      <c r="J34" s="175">
        <v>45236</v>
      </c>
      <c r="K34" s="201">
        <v>2</v>
      </c>
      <c r="L34" s="213" t="s">
        <v>58</v>
      </c>
      <c r="M34" s="213" t="s">
        <v>59</v>
      </c>
    </row>
    <row r="35" spans="7:13" s="15" customFormat="1" ht="30.75">
      <c r="G35" s="218" t="s">
        <v>60</v>
      </c>
      <c r="H35" s="219" t="s">
        <v>12</v>
      </c>
      <c r="I35" s="220">
        <v>45237</v>
      </c>
      <c r="J35" s="220">
        <v>45251</v>
      </c>
      <c r="K35" s="201">
        <v>3</v>
      </c>
      <c r="L35" s="201" t="s">
        <v>38</v>
      </c>
      <c r="M35" s="213" t="s">
        <v>61</v>
      </c>
    </row>
    <row r="36" spans="7:13">
      <c r="G36" s="173" t="s">
        <v>62</v>
      </c>
      <c r="H36" s="174" t="s">
        <v>12</v>
      </c>
      <c r="I36" s="175">
        <v>45240</v>
      </c>
      <c r="J36" s="175">
        <v>45268</v>
      </c>
      <c r="K36" s="201">
        <v>4</v>
      </c>
      <c r="L36" s="201" t="s">
        <v>38</v>
      </c>
      <c r="M36" s="201" t="s">
        <v>63</v>
      </c>
    </row>
    <row r="37" spans="7:13">
      <c r="G37" s="173" t="s">
        <v>64</v>
      </c>
      <c r="H37" s="174" t="s">
        <v>12</v>
      </c>
      <c r="I37" s="175">
        <v>45273</v>
      </c>
      <c r="J37" s="175">
        <v>45282</v>
      </c>
      <c r="K37" s="201">
        <v>5</v>
      </c>
      <c r="L37" s="201" t="s">
        <v>19</v>
      </c>
      <c r="M37" s="201"/>
    </row>
    <row r="38" spans="7:13">
      <c r="G38" s="173" t="s">
        <v>65</v>
      </c>
      <c r="H38" s="174" t="s">
        <v>12</v>
      </c>
      <c r="I38" s="175"/>
      <c r="J38" s="175"/>
      <c r="K38" s="201">
        <v>6</v>
      </c>
      <c r="L38" s="201"/>
      <c r="M38" s="201"/>
    </row>
    <row r="39" spans="7:13">
      <c r="G39" s="173" t="s">
        <v>66</v>
      </c>
      <c r="H39" s="174" t="s">
        <v>33</v>
      </c>
      <c r="I39" s="175"/>
      <c r="J39" s="175"/>
      <c r="K39" s="201"/>
      <c r="L39" s="201"/>
      <c r="M39" s="201"/>
    </row>
    <row r="40" spans="7:13" ht="16.5">
      <c r="G40" s="176" t="s">
        <v>67</v>
      </c>
      <c r="H40" s="174" t="s">
        <v>33</v>
      </c>
      <c r="I40" s="175">
        <v>45344</v>
      </c>
      <c r="J40" s="175">
        <v>45351</v>
      </c>
      <c r="K40" s="201"/>
      <c r="L40" s="201"/>
      <c r="M40" s="201"/>
    </row>
    <row r="47" spans="7:13">
      <c r="G47" s="173"/>
      <c r="H47" s="174"/>
      <c r="I47" s="175"/>
      <c r="J47" s="175"/>
      <c r="K47" s="201"/>
      <c r="L47" s="189"/>
      <c r="M47" s="189"/>
    </row>
    <row r="56" spans="7:9">
      <c r="G56" s="260"/>
      <c r="H56" s="260"/>
      <c r="I56" s="260"/>
    </row>
    <row r="57" spans="7:9">
      <c r="G57" s="141"/>
      <c r="H57" s="141"/>
      <c r="I57" s="261"/>
    </row>
    <row r="58" spans="7:9">
      <c r="G58" s="141"/>
      <c r="H58" s="141"/>
      <c r="I58" s="261"/>
    </row>
    <row r="59" spans="7:9">
      <c r="G59" s="141"/>
      <c r="H59" s="141"/>
      <c r="I59" s="261"/>
    </row>
    <row r="60" spans="7:9">
      <c r="G60" s="141"/>
      <c r="H60" s="141"/>
      <c r="I60" s="261"/>
    </row>
    <row r="61" spans="7:9">
      <c r="G61" s="141"/>
      <c r="H61" s="141"/>
      <c r="I61" s="261"/>
    </row>
    <row r="62" spans="7:9">
      <c r="G62" s="141"/>
      <c r="H62" s="141"/>
      <c r="I62" s="261"/>
    </row>
    <row r="63" spans="7:9">
      <c r="G63" s="261"/>
      <c r="H63" s="261"/>
      <c r="I63" s="261"/>
    </row>
    <row r="64" spans="7:9">
      <c r="G64" s="141"/>
      <c r="H64" s="141"/>
      <c r="I64" s="261"/>
    </row>
    <row r="65" spans="7:9">
      <c r="G65" s="141"/>
      <c r="H65" s="141"/>
      <c r="I65" s="261"/>
    </row>
    <row r="66" spans="7:9">
      <c r="G66" s="141"/>
      <c r="H66" s="141"/>
      <c r="I66" s="263"/>
    </row>
    <row r="67" spans="7:9">
      <c r="G67" s="141"/>
      <c r="H67" s="141"/>
      <c r="I67" s="263"/>
    </row>
    <row r="68" spans="7:9" ht="16.5">
      <c r="G68" s="262"/>
      <c r="H68" s="141"/>
      <c r="I68" s="263"/>
    </row>
  </sheetData>
  <mergeCells count="4">
    <mergeCell ref="A15:A17"/>
    <mergeCell ref="A18:A20"/>
    <mergeCell ref="A21:A23"/>
    <mergeCell ref="G21:G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opLeftCell="A10" workbookViewId="0">
      <selection activeCell="C17" sqref="C17"/>
    </sheetView>
  </sheetViews>
  <sheetFormatPr defaultRowHeight="15"/>
  <cols>
    <col min="1" max="1" width="12.5703125" customWidth="1"/>
    <col min="2" max="2" width="9.42578125" customWidth="1"/>
    <col min="3" max="4" width="11" customWidth="1"/>
    <col min="6" max="6" width="10.42578125" customWidth="1"/>
    <col min="7" max="7" width="13.7109375" customWidth="1"/>
    <col min="8" max="8" width="20.7109375" customWidth="1"/>
  </cols>
  <sheetData>
    <row r="1" spans="1:9">
      <c r="A1" s="290">
        <v>45146</v>
      </c>
      <c r="B1" s="291"/>
      <c r="C1" s="291"/>
      <c r="D1" s="291"/>
      <c r="E1" s="291"/>
      <c r="F1" s="291"/>
      <c r="G1" s="291"/>
      <c r="H1" s="292"/>
    </row>
    <row r="2" spans="1:9" ht="30">
      <c r="A2" s="3" t="s">
        <v>0</v>
      </c>
      <c r="B2" s="3" t="s">
        <v>68</v>
      </c>
      <c r="C2" s="3" t="s">
        <v>24</v>
      </c>
      <c r="D2" s="3" t="s">
        <v>69</v>
      </c>
      <c r="E2" s="3" t="s">
        <v>70</v>
      </c>
      <c r="F2" s="3" t="s">
        <v>4</v>
      </c>
      <c r="G2" s="3" t="s">
        <v>71</v>
      </c>
      <c r="H2" s="3" t="s">
        <v>72</v>
      </c>
      <c r="I2" s="1"/>
    </row>
    <row r="3" spans="1:9">
      <c r="A3" s="294" t="s">
        <v>11</v>
      </c>
      <c r="B3" s="6">
        <v>33</v>
      </c>
      <c r="C3" s="4" t="s">
        <v>15</v>
      </c>
      <c r="D3" s="6"/>
      <c r="E3" s="6"/>
      <c r="F3" s="6"/>
      <c r="G3" s="4"/>
      <c r="H3" s="4"/>
      <c r="I3" s="1"/>
    </row>
    <row r="4" spans="1:9">
      <c r="A4" s="293"/>
      <c r="B4" s="6">
        <v>33</v>
      </c>
      <c r="C4" s="4" t="s">
        <v>14</v>
      </c>
      <c r="D4" s="6"/>
      <c r="E4" s="6"/>
      <c r="F4" s="6"/>
      <c r="G4" s="4"/>
      <c r="H4" s="4"/>
      <c r="I4" s="1"/>
    </row>
    <row r="5" spans="1:9">
      <c r="A5" s="295"/>
      <c r="B5" s="6">
        <v>33</v>
      </c>
      <c r="C5" s="4" t="s">
        <v>12</v>
      </c>
      <c r="D5" s="6">
        <v>10</v>
      </c>
      <c r="E5" s="6">
        <v>7</v>
      </c>
      <c r="F5" s="6">
        <v>3</v>
      </c>
      <c r="G5" s="4" t="s">
        <v>73</v>
      </c>
      <c r="H5" s="5" t="s">
        <v>74</v>
      </c>
      <c r="I5" s="1"/>
    </row>
    <row r="6" spans="1:9">
      <c r="A6" s="294" t="s">
        <v>18</v>
      </c>
      <c r="B6" s="6">
        <v>28</v>
      </c>
      <c r="C6" s="4" t="s">
        <v>15</v>
      </c>
      <c r="D6" s="6"/>
      <c r="E6" s="6"/>
      <c r="F6" s="6"/>
      <c r="G6" s="4"/>
      <c r="H6" s="4"/>
      <c r="I6" s="1"/>
    </row>
    <row r="7" spans="1:9">
      <c r="A7" s="293"/>
      <c r="B7" s="6">
        <v>28</v>
      </c>
      <c r="C7" s="4" t="s">
        <v>14</v>
      </c>
      <c r="D7" s="6"/>
      <c r="E7" s="6"/>
      <c r="F7" s="6"/>
      <c r="G7" s="4"/>
      <c r="H7" s="4"/>
      <c r="I7" s="1"/>
    </row>
    <row r="8" spans="1:9">
      <c r="A8" s="295"/>
      <c r="B8" s="6">
        <v>28</v>
      </c>
      <c r="C8" s="4" t="s">
        <v>12</v>
      </c>
      <c r="D8" s="6">
        <v>28</v>
      </c>
      <c r="E8" s="6">
        <v>22</v>
      </c>
      <c r="F8" s="6">
        <v>6</v>
      </c>
      <c r="G8" s="4" t="s">
        <v>75</v>
      </c>
      <c r="H8" s="4" t="s">
        <v>74</v>
      </c>
      <c r="I8" s="1"/>
    </row>
    <row r="9" spans="1:9">
      <c r="A9" s="294" t="s">
        <v>22</v>
      </c>
      <c r="B9" s="6">
        <v>20</v>
      </c>
      <c r="C9" s="4" t="s">
        <v>15</v>
      </c>
      <c r="D9" s="6"/>
      <c r="E9" s="6"/>
      <c r="F9" s="6"/>
      <c r="G9" s="4"/>
      <c r="H9" s="4"/>
      <c r="I9" s="1"/>
    </row>
    <row r="10" spans="1:9">
      <c r="A10" s="293"/>
      <c r="B10" s="6">
        <v>20</v>
      </c>
      <c r="C10" s="4" t="s">
        <v>14</v>
      </c>
      <c r="D10" s="6"/>
      <c r="E10" s="6"/>
      <c r="F10" s="6"/>
      <c r="G10" s="4"/>
      <c r="H10" s="4"/>
      <c r="I10" s="1"/>
    </row>
    <row r="11" spans="1:9">
      <c r="A11" s="295"/>
      <c r="B11" s="6">
        <v>20</v>
      </c>
      <c r="C11" s="4" t="s">
        <v>12</v>
      </c>
      <c r="D11" s="6">
        <v>20</v>
      </c>
      <c r="E11" s="6">
        <v>20</v>
      </c>
      <c r="F11" s="6">
        <v>0</v>
      </c>
      <c r="G11" s="4" t="s">
        <v>76</v>
      </c>
      <c r="H11" s="4"/>
      <c r="I11" s="1"/>
    </row>
    <row r="13" spans="1:9">
      <c r="A13" s="290">
        <v>45147</v>
      </c>
      <c r="B13" s="291"/>
      <c r="C13" s="291"/>
      <c r="D13" s="291"/>
      <c r="E13" s="291"/>
      <c r="F13" s="291"/>
      <c r="G13" s="291"/>
      <c r="H13" s="292"/>
    </row>
    <row r="14" spans="1:9" ht="30">
      <c r="A14" s="3" t="s">
        <v>0</v>
      </c>
      <c r="B14" s="3" t="s">
        <v>68</v>
      </c>
      <c r="C14" s="3" t="s">
        <v>24</v>
      </c>
      <c r="D14" s="3" t="s">
        <v>69</v>
      </c>
      <c r="E14" s="3" t="s">
        <v>70</v>
      </c>
      <c r="F14" s="3" t="s">
        <v>4</v>
      </c>
      <c r="G14" s="3" t="s">
        <v>71</v>
      </c>
      <c r="H14" s="3" t="s">
        <v>72</v>
      </c>
    </row>
    <row r="15" spans="1:9">
      <c r="A15" s="293" t="s">
        <v>11</v>
      </c>
      <c r="B15" s="6">
        <v>33</v>
      </c>
      <c r="C15" s="4" t="s">
        <v>14</v>
      </c>
      <c r="D15" s="6">
        <v>13</v>
      </c>
      <c r="E15" s="6">
        <v>7</v>
      </c>
      <c r="F15" s="6">
        <v>6</v>
      </c>
      <c r="G15" s="4" t="s">
        <v>77</v>
      </c>
      <c r="H15" s="4" t="s">
        <v>74</v>
      </c>
    </row>
    <row r="16" spans="1:9" ht="45.75">
      <c r="A16" s="293"/>
      <c r="B16" s="6">
        <v>33</v>
      </c>
      <c r="C16" s="4" t="s">
        <v>12</v>
      </c>
      <c r="D16" s="6">
        <v>25</v>
      </c>
      <c r="E16" s="6">
        <v>15</v>
      </c>
      <c r="F16" s="6">
        <v>10</v>
      </c>
      <c r="G16" s="4" t="s">
        <v>78</v>
      </c>
      <c r="H16" s="7" t="s">
        <v>79</v>
      </c>
    </row>
    <row r="17" spans="1:8" ht="90" customHeight="1">
      <c r="A17" s="8" t="s">
        <v>18</v>
      </c>
      <c r="B17" s="9">
        <v>28</v>
      </c>
      <c r="C17" s="4" t="s">
        <v>14</v>
      </c>
      <c r="D17" s="6">
        <v>28</v>
      </c>
      <c r="E17" s="2">
        <v>11</v>
      </c>
      <c r="F17" s="6">
        <v>17</v>
      </c>
      <c r="G17" s="4" t="s">
        <v>80</v>
      </c>
      <c r="H17" s="4" t="s">
        <v>81</v>
      </c>
    </row>
    <row r="18" spans="1:8" ht="60.75">
      <c r="A18" s="8" t="s">
        <v>22</v>
      </c>
      <c r="B18" s="9">
        <v>20</v>
      </c>
      <c r="C18" s="4" t="s">
        <v>14</v>
      </c>
      <c r="D18" s="6">
        <v>20</v>
      </c>
      <c r="E18" s="6"/>
      <c r="F18" s="6"/>
      <c r="G18" s="6" t="s">
        <v>82</v>
      </c>
      <c r="H18" s="4" t="s">
        <v>83</v>
      </c>
    </row>
  </sheetData>
  <mergeCells count="6">
    <mergeCell ref="A1:H1"/>
    <mergeCell ref="A13:H13"/>
    <mergeCell ref="A15:A16"/>
    <mergeCell ref="A3:A5"/>
    <mergeCell ref="A6:A8"/>
    <mergeCell ref="A9:A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B77F6-BCC0-4230-8E2B-80E683DF4DDD}">
  <dimension ref="A1:I92"/>
  <sheetViews>
    <sheetView topLeftCell="C25" workbookViewId="0">
      <selection activeCell="I27" sqref="I27"/>
    </sheetView>
  </sheetViews>
  <sheetFormatPr defaultRowHeight="15"/>
  <cols>
    <col min="1" max="1" width="9.140625" style="2"/>
    <col min="2" max="2" width="11.140625" style="2" bestFit="1" customWidth="1"/>
    <col min="3" max="3" width="21" style="2" bestFit="1" customWidth="1"/>
    <col min="4" max="4" width="13.7109375" style="2" customWidth="1"/>
    <col min="5" max="5" width="51.140625" style="15" bestFit="1" customWidth="1"/>
    <col min="6" max="6" width="32" style="2" customWidth="1"/>
    <col min="7" max="7" width="9.42578125" style="15" bestFit="1" customWidth="1"/>
    <col min="8" max="8" width="10.85546875" style="15" bestFit="1" customWidth="1"/>
    <col min="9" max="9" width="39.5703125" style="18" customWidth="1"/>
    <col min="10" max="16384" width="9.140625" style="15"/>
  </cols>
  <sheetData>
    <row r="1" spans="1:9">
      <c r="A1" s="11" t="s">
        <v>84</v>
      </c>
      <c r="B1" s="11" t="s">
        <v>85</v>
      </c>
      <c r="C1" s="11" t="s">
        <v>86</v>
      </c>
      <c r="D1" s="11" t="s">
        <v>1</v>
      </c>
      <c r="E1" s="11" t="s">
        <v>2</v>
      </c>
      <c r="F1" s="11" t="s">
        <v>87</v>
      </c>
      <c r="G1" s="11" t="s">
        <v>88</v>
      </c>
      <c r="H1" s="11" t="s">
        <v>89</v>
      </c>
      <c r="I1" s="17" t="s">
        <v>10</v>
      </c>
    </row>
    <row r="2" spans="1:9" ht="99.75" customHeight="1">
      <c r="A2" s="12" t="s">
        <v>90</v>
      </c>
      <c r="B2" s="13">
        <v>45147</v>
      </c>
      <c r="C2" s="12" t="s">
        <v>22</v>
      </c>
      <c r="D2" s="12" t="s">
        <v>12</v>
      </c>
      <c r="E2" s="12" t="s">
        <v>91</v>
      </c>
      <c r="F2" s="8" t="s">
        <v>92</v>
      </c>
      <c r="G2" s="12">
        <v>6</v>
      </c>
      <c r="H2" s="12"/>
      <c r="I2" s="14" t="s">
        <v>93</v>
      </c>
    </row>
    <row r="3" spans="1:9" ht="106.5">
      <c r="A3" s="12" t="s">
        <v>94</v>
      </c>
      <c r="B3" s="13">
        <v>45148</v>
      </c>
      <c r="C3" s="12" t="s">
        <v>11</v>
      </c>
      <c r="D3" s="12" t="s">
        <v>12</v>
      </c>
      <c r="E3" s="12" t="s">
        <v>91</v>
      </c>
      <c r="F3" s="8" t="s">
        <v>95</v>
      </c>
      <c r="G3" s="12">
        <v>7</v>
      </c>
      <c r="H3" s="12"/>
      <c r="I3" s="14" t="s">
        <v>96</v>
      </c>
    </row>
    <row r="4" spans="1:9" ht="30.75">
      <c r="A4" s="12" t="s">
        <v>97</v>
      </c>
      <c r="B4" s="13">
        <v>45148</v>
      </c>
      <c r="C4" s="12" t="s">
        <v>11</v>
      </c>
      <c r="D4" s="12" t="s">
        <v>12</v>
      </c>
      <c r="E4" s="12" t="s">
        <v>91</v>
      </c>
      <c r="F4" s="8" t="s">
        <v>98</v>
      </c>
      <c r="G4" s="12">
        <v>2</v>
      </c>
      <c r="H4" s="12"/>
      <c r="I4" s="14" t="s">
        <v>99</v>
      </c>
    </row>
    <row r="5" spans="1:9" ht="45.75">
      <c r="A5" s="12" t="s">
        <v>90</v>
      </c>
      <c r="B5" s="13">
        <v>45148</v>
      </c>
      <c r="C5" s="12" t="s">
        <v>22</v>
      </c>
      <c r="D5" s="12" t="s">
        <v>12</v>
      </c>
      <c r="E5" s="12" t="s">
        <v>100</v>
      </c>
      <c r="F5" s="8" t="s">
        <v>101</v>
      </c>
      <c r="G5" s="12">
        <v>3</v>
      </c>
      <c r="H5" s="12"/>
      <c r="I5" s="14" t="s">
        <v>102</v>
      </c>
    </row>
    <row r="6" spans="1:9" ht="60.75">
      <c r="A6" s="12" t="s">
        <v>94</v>
      </c>
      <c r="B6" s="13">
        <v>45149</v>
      </c>
      <c r="C6" s="12" t="s">
        <v>11</v>
      </c>
      <c r="D6" s="12" t="s">
        <v>12</v>
      </c>
      <c r="E6" s="12" t="s">
        <v>91</v>
      </c>
      <c r="F6" s="8" t="s">
        <v>103</v>
      </c>
      <c r="G6" s="12">
        <v>4</v>
      </c>
      <c r="H6" s="12"/>
      <c r="I6" s="14" t="s">
        <v>104</v>
      </c>
    </row>
    <row r="7" spans="1:9" ht="30.75">
      <c r="A7" s="12" t="s">
        <v>105</v>
      </c>
      <c r="B7" s="13">
        <v>45149</v>
      </c>
      <c r="C7" s="12" t="s">
        <v>18</v>
      </c>
      <c r="D7" s="12" t="s">
        <v>12</v>
      </c>
      <c r="E7" s="12" t="s">
        <v>91</v>
      </c>
      <c r="F7" s="12"/>
      <c r="G7" s="12">
        <v>2</v>
      </c>
      <c r="H7" s="12"/>
      <c r="I7" s="14" t="s">
        <v>106</v>
      </c>
    </row>
    <row r="8" spans="1:9" ht="30.75">
      <c r="A8" s="12" t="s">
        <v>97</v>
      </c>
      <c r="B8" s="13">
        <v>45149</v>
      </c>
      <c r="C8" s="8" t="s">
        <v>107</v>
      </c>
      <c r="D8" s="12" t="s">
        <v>12</v>
      </c>
      <c r="E8" s="12" t="s">
        <v>108</v>
      </c>
      <c r="F8" s="12"/>
      <c r="G8" s="12"/>
      <c r="H8" s="12"/>
      <c r="I8" s="14"/>
    </row>
    <row r="9" spans="1:9" ht="45.75">
      <c r="A9" s="12" t="s">
        <v>90</v>
      </c>
      <c r="B9" s="13">
        <v>45149</v>
      </c>
      <c r="C9" s="12" t="s">
        <v>22</v>
      </c>
      <c r="D9" s="12" t="s">
        <v>12</v>
      </c>
      <c r="E9" s="12" t="s">
        <v>100</v>
      </c>
      <c r="F9" s="8" t="s">
        <v>109</v>
      </c>
      <c r="G9" s="12">
        <v>2</v>
      </c>
      <c r="H9" s="12"/>
      <c r="I9" s="14" t="s">
        <v>110</v>
      </c>
    </row>
    <row r="10" spans="1:9" ht="45.75">
      <c r="A10" s="12" t="s">
        <v>94</v>
      </c>
      <c r="B10" s="13">
        <v>45152</v>
      </c>
      <c r="C10" s="12" t="s">
        <v>11</v>
      </c>
      <c r="D10" s="12" t="s">
        <v>12</v>
      </c>
      <c r="E10" s="12" t="s">
        <v>91</v>
      </c>
      <c r="F10" s="8" t="s">
        <v>111</v>
      </c>
      <c r="G10" s="12">
        <v>3</v>
      </c>
      <c r="H10" s="12"/>
      <c r="I10" s="14" t="s">
        <v>112</v>
      </c>
    </row>
    <row r="11" spans="1:9" ht="30.75">
      <c r="A11" s="12" t="s">
        <v>97</v>
      </c>
      <c r="B11" s="13">
        <v>45152</v>
      </c>
      <c r="C11" s="12" t="s">
        <v>11</v>
      </c>
      <c r="D11" s="12" t="s">
        <v>15</v>
      </c>
      <c r="E11" s="12" t="s">
        <v>113</v>
      </c>
      <c r="F11" s="12" t="s">
        <v>114</v>
      </c>
      <c r="G11" s="12">
        <v>0.05</v>
      </c>
      <c r="H11" s="12"/>
      <c r="I11" s="14" t="s">
        <v>115</v>
      </c>
    </row>
    <row r="12" spans="1:9" ht="30.75">
      <c r="A12" s="12" t="s">
        <v>105</v>
      </c>
      <c r="B12" s="13">
        <v>45152</v>
      </c>
      <c r="C12" s="12" t="s">
        <v>18</v>
      </c>
      <c r="D12" s="12" t="s">
        <v>12</v>
      </c>
      <c r="E12" s="12" t="s">
        <v>91</v>
      </c>
      <c r="F12" s="8" t="s">
        <v>116</v>
      </c>
      <c r="G12" s="12">
        <v>1.8</v>
      </c>
      <c r="H12" s="12"/>
      <c r="I12" s="14" t="s">
        <v>106</v>
      </c>
    </row>
    <row r="13" spans="1:9" ht="60.75">
      <c r="A13" s="12" t="s">
        <v>90</v>
      </c>
      <c r="B13" s="13">
        <v>45152</v>
      </c>
      <c r="C13" s="12" t="s">
        <v>22</v>
      </c>
      <c r="D13" s="12" t="s">
        <v>12</v>
      </c>
      <c r="E13" s="12" t="s">
        <v>100</v>
      </c>
      <c r="F13" s="8" t="s">
        <v>117</v>
      </c>
      <c r="G13" s="12">
        <v>2</v>
      </c>
      <c r="H13" s="12"/>
      <c r="I13" s="14" t="s">
        <v>118</v>
      </c>
    </row>
    <row r="14" spans="1:9">
      <c r="A14" s="296" t="s">
        <v>105</v>
      </c>
      <c r="B14" s="302">
        <v>45154</v>
      </c>
      <c r="C14" s="296" t="s">
        <v>18</v>
      </c>
      <c r="D14" s="296" t="s">
        <v>12</v>
      </c>
      <c r="E14" s="296" t="s">
        <v>91</v>
      </c>
      <c r="F14" s="8" t="s">
        <v>119</v>
      </c>
      <c r="G14" s="12">
        <v>0.2</v>
      </c>
      <c r="H14" s="12"/>
      <c r="I14" s="14" t="s">
        <v>120</v>
      </c>
    </row>
    <row r="15" spans="1:9" ht="30.75">
      <c r="A15" s="297"/>
      <c r="B15" s="303"/>
      <c r="C15" s="297"/>
      <c r="D15" s="297"/>
      <c r="E15" s="297"/>
      <c r="F15" s="8" t="s">
        <v>121</v>
      </c>
      <c r="G15" s="12">
        <v>1</v>
      </c>
      <c r="H15" s="12"/>
      <c r="I15" s="14" t="s">
        <v>122</v>
      </c>
    </row>
    <row r="16" spans="1:9" ht="30.75">
      <c r="A16" s="304"/>
      <c r="B16" s="305"/>
      <c r="C16" s="304"/>
      <c r="D16" s="304"/>
      <c r="E16" s="304"/>
      <c r="F16" s="8" t="s">
        <v>123</v>
      </c>
      <c r="G16" s="12">
        <v>1</v>
      </c>
      <c r="H16" s="12"/>
      <c r="I16" s="14" t="s">
        <v>124</v>
      </c>
    </row>
    <row r="17" spans="1:9" ht="60.75">
      <c r="A17" s="12" t="s">
        <v>94</v>
      </c>
      <c r="B17" s="13">
        <v>45154</v>
      </c>
      <c r="C17" s="12" t="s">
        <v>11</v>
      </c>
      <c r="D17" s="12" t="s">
        <v>12</v>
      </c>
      <c r="E17" s="12" t="s">
        <v>91</v>
      </c>
      <c r="F17" s="8" t="s">
        <v>125</v>
      </c>
      <c r="G17" s="12">
        <v>2</v>
      </c>
      <c r="H17" s="12"/>
      <c r="I17" s="14" t="s">
        <v>126</v>
      </c>
    </row>
    <row r="18" spans="1:9" ht="60.75">
      <c r="A18" s="12" t="s">
        <v>97</v>
      </c>
      <c r="B18" s="13">
        <v>45154</v>
      </c>
      <c r="C18" s="12" t="s">
        <v>11</v>
      </c>
      <c r="D18" s="12" t="s">
        <v>15</v>
      </c>
      <c r="E18" s="12" t="s">
        <v>113</v>
      </c>
      <c r="F18" s="12" t="s">
        <v>127</v>
      </c>
      <c r="G18" s="12">
        <v>0.15</v>
      </c>
      <c r="H18" s="12"/>
      <c r="I18" s="14" t="s">
        <v>128</v>
      </c>
    </row>
    <row r="19" spans="1:9" ht="60.75">
      <c r="A19" s="12" t="s">
        <v>90</v>
      </c>
      <c r="B19" s="13">
        <v>45154</v>
      </c>
      <c r="C19" s="12" t="s">
        <v>22</v>
      </c>
      <c r="D19" s="12" t="s">
        <v>12</v>
      </c>
      <c r="E19" s="12" t="s">
        <v>100</v>
      </c>
      <c r="F19" s="8" t="s">
        <v>129</v>
      </c>
      <c r="G19" s="12">
        <v>2.5</v>
      </c>
      <c r="H19" s="12"/>
      <c r="I19" s="14" t="s">
        <v>99</v>
      </c>
    </row>
    <row r="20" spans="1:9" ht="30.75" customHeight="1">
      <c r="A20" s="296" t="s">
        <v>105</v>
      </c>
      <c r="B20" s="302">
        <v>45155</v>
      </c>
      <c r="C20" s="296" t="s">
        <v>18</v>
      </c>
      <c r="D20" s="296" t="s">
        <v>12</v>
      </c>
      <c r="E20" s="296" t="s">
        <v>91</v>
      </c>
      <c r="F20" s="12" t="s">
        <v>130</v>
      </c>
      <c r="G20" s="16">
        <v>1</v>
      </c>
      <c r="H20" s="16"/>
      <c r="I20" s="300" t="s">
        <v>131</v>
      </c>
    </row>
    <row r="21" spans="1:9">
      <c r="A21" s="304"/>
      <c r="B21" s="305"/>
      <c r="C21" s="304"/>
      <c r="D21" s="304"/>
      <c r="E21" s="297"/>
      <c r="F21" s="12" t="s">
        <v>132</v>
      </c>
      <c r="G21" s="16">
        <v>1</v>
      </c>
      <c r="H21" s="16"/>
      <c r="I21" s="301"/>
    </row>
    <row r="22" spans="1:9" ht="60.75">
      <c r="A22" s="12" t="s">
        <v>94</v>
      </c>
      <c r="B22" s="13">
        <v>45155</v>
      </c>
      <c r="C22" s="12" t="s">
        <v>11</v>
      </c>
      <c r="D22" s="12" t="s">
        <v>12</v>
      </c>
      <c r="E22" s="12" t="s">
        <v>91</v>
      </c>
      <c r="F22" s="8" t="s">
        <v>133</v>
      </c>
      <c r="G22" s="12">
        <v>3</v>
      </c>
      <c r="H22" s="12"/>
      <c r="I22" s="31" t="s">
        <v>134</v>
      </c>
    </row>
    <row r="23" spans="1:9" ht="30.75">
      <c r="A23" s="12" t="s">
        <v>97</v>
      </c>
      <c r="B23" s="13">
        <v>45155</v>
      </c>
      <c r="C23" s="12" t="s">
        <v>11</v>
      </c>
      <c r="D23" s="12" t="s">
        <v>15</v>
      </c>
      <c r="E23" s="12" t="s">
        <v>113</v>
      </c>
      <c r="F23" s="12" t="s">
        <v>135</v>
      </c>
      <c r="G23" s="12">
        <v>0.25</v>
      </c>
      <c r="H23" s="29"/>
      <c r="I23" s="28" t="s">
        <v>136</v>
      </c>
    </row>
    <row r="24" spans="1:9" ht="30.75">
      <c r="A24" s="296" t="s">
        <v>90</v>
      </c>
      <c r="B24" s="302">
        <v>45155</v>
      </c>
      <c r="C24" s="12" t="s">
        <v>22</v>
      </c>
      <c r="D24" s="12" t="s">
        <v>12</v>
      </c>
      <c r="E24" s="12" t="s">
        <v>100</v>
      </c>
      <c r="F24" s="8" t="s">
        <v>137</v>
      </c>
      <c r="G24" s="12">
        <v>1</v>
      </c>
      <c r="H24" s="29"/>
      <c r="I24" s="14" t="s">
        <v>138</v>
      </c>
    </row>
    <row r="25" spans="1:9" ht="30.75">
      <c r="A25" s="304"/>
      <c r="B25" s="305"/>
      <c r="C25" s="12" t="s">
        <v>139</v>
      </c>
      <c r="D25" s="12"/>
      <c r="E25" s="16" t="s">
        <v>140</v>
      </c>
      <c r="F25" s="12"/>
      <c r="G25" s="16"/>
      <c r="H25" s="30"/>
      <c r="I25" s="14" t="s">
        <v>141</v>
      </c>
    </row>
    <row r="26" spans="1:9" s="2" customFormat="1">
      <c r="A26" s="12" t="s">
        <v>105</v>
      </c>
      <c r="B26" s="13">
        <v>45156</v>
      </c>
      <c r="C26" s="12" t="s">
        <v>18</v>
      </c>
      <c r="D26" s="12" t="s">
        <v>12</v>
      </c>
      <c r="E26" s="12" t="s">
        <v>91</v>
      </c>
      <c r="F26" s="12" t="s">
        <v>142</v>
      </c>
      <c r="G26" s="12">
        <v>0.8</v>
      </c>
      <c r="H26" s="29"/>
      <c r="I26" s="8" t="s">
        <v>143</v>
      </c>
    </row>
    <row r="27" spans="1:9" ht="30.75">
      <c r="A27" s="12" t="s">
        <v>97</v>
      </c>
      <c r="B27" s="13">
        <v>45156</v>
      </c>
      <c r="C27" s="12" t="s">
        <v>11</v>
      </c>
      <c r="D27" s="12" t="s">
        <v>15</v>
      </c>
      <c r="E27" s="12" t="s">
        <v>113</v>
      </c>
      <c r="F27" s="12" t="s">
        <v>144</v>
      </c>
      <c r="G27" s="12">
        <v>0.25</v>
      </c>
      <c r="H27" s="29"/>
      <c r="I27" s="28" t="s">
        <v>136</v>
      </c>
    </row>
    <row r="28" spans="1:9" ht="45.75">
      <c r="A28" s="296" t="s">
        <v>90</v>
      </c>
      <c r="B28" s="302">
        <v>45156</v>
      </c>
      <c r="C28" s="12" t="s">
        <v>11</v>
      </c>
      <c r="D28" s="12" t="s">
        <v>12</v>
      </c>
      <c r="E28" s="12" t="s">
        <v>100</v>
      </c>
      <c r="F28" s="8" t="s">
        <v>145</v>
      </c>
      <c r="G28" s="12">
        <v>1.7</v>
      </c>
      <c r="H28" s="29"/>
      <c r="I28" s="14" t="s">
        <v>146</v>
      </c>
    </row>
    <row r="29" spans="1:9">
      <c r="A29" s="304"/>
      <c r="B29" s="305"/>
      <c r="C29" s="12"/>
      <c r="D29" s="12"/>
      <c r="E29" s="16"/>
      <c r="F29" s="12"/>
      <c r="G29" s="16"/>
      <c r="H29" s="30"/>
      <c r="I29" s="14"/>
    </row>
    <row r="30" spans="1:9">
      <c r="A30" s="296" t="s">
        <v>105</v>
      </c>
      <c r="B30" s="302">
        <v>45159</v>
      </c>
      <c r="C30" s="296" t="s">
        <v>18</v>
      </c>
      <c r="D30" s="296" t="s">
        <v>12</v>
      </c>
      <c r="E30" s="296" t="s">
        <v>91</v>
      </c>
      <c r="F30" s="12" t="s">
        <v>147</v>
      </c>
      <c r="G30" s="296">
        <v>2.2000000000000002</v>
      </c>
      <c r="H30" s="16"/>
      <c r="I30" s="306" t="s">
        <v>148</v>
      </c>
    </row>
    <row r="31" spans="1:9">
      <c r="A31" s="297"/>
      <c r="B31" s="303"/>
      <c r="C31" s="297"/>
      <c r="D31" s="297"/>
      <c r="E31" s="297"/>
      <c r="F31" s="12" t="s">
        <v>149</v>
      </c>
      <c r="G31" s="297"/>
      <c r="H31" s="16"/>
      <c r="I31" s="307"/>
    </row>
    <row r="32" spans="1:9">
      <c r="A32" s="304"/>
      <c r="B32" s="305"/>
      <c r="C32" s="304"/>
      <c r="D32" s="304"/>
      <c r="E32" s="304"/>
      <c r="F32" s="12" t="s">
        <v>150</v>
      </c>
      <c r="G32" s="304"/>
      <c r="H32" s="16"/>
      <c r="I32" s="308"/>
    </row>
    <row r="33" spans="1:9" ht="30.75">
      <c r="A33" s="12" t="s">
        <v>97</v>
      </c>
      <c r="B33" s="13">
        <v>45159</v>
      </c>
      <c r="C33" s="12" t="s">
        <v>11</v>
      </c>
      <c r="D33" s="12" t="s">
        <v>15</v>
      </c>
      <c r="E33" s="12" t="s">
        <v>113</v>
      </c>
      <c r="F33" s="12" t="s">
        <v>151</v>
      </c>
      <c r="G33" s="12">
        <v>0.1</v>
      </c>
      <c r="H33" s="29"/>
      <c r="I33" s="28" t="s">
        <v>136</v>
      </c>
    </row>
    <row r="34" spans="1:9" ht="60.75">
      <c r="A34" s="296" t="s">
        <v>90</v>
      </c>
      <c r="B34" s="302">
        <v>45159</v>
      </c>
      <c r="C34" s="12" t="s">
        <v>152</v>
      </c>
      <c r="D34" s="12" t="s">
        <v>12</v>
      </c>
      <c r="E34" s="12" t="s">
        <v>100</v>
      </c>
      <c r="F34" s="8" t="s">
        <v>153</v>
      </c>
      <c r="G34" s="12">
        <v>3</v>
      </c>
      <c r="H34" s="29"/>
      <c r="I34" s="14" t="s">
        <v>154</v>
      </c>
    </row>
    <row r="35" spans="1:9">
      <c r="A35" s="304"/>
      <c r="B35" s="305"/>
      <c r="C35" s="12"/>
      <c r="D35" s="12"/>
      <c r="E35" s="16"/>
      <c r="F35" s="12"/>
      <c r="G35" s="16"/>
      <c r="H35" s="30"/>
      <c r="I35" s="14"/>
    </row>
    <row r="36" spans="1:9" ht="30.75">
      <c r="A36" s="12" t="s">
        <v>97</v>
      </c>
      <c r="B36" s="13">
        <v>45160</v>
      </c>
      <c r="C36" s="12" t="s">
        <v>11</v>
      </c>
      <c r="D36" s="12" t="s">
        <v>15</v>
      </c>
      <c r="E36" s="12" t="s">
        <v>113</v>
      </c>
      <c r="F36" s="12" t="s">
        <v>155</v>
      </c>
      <c r="G36" s="12">
        <v>0.3</v>
      </c>
      <c r="H36" s="29"/>
      <c r="I36" s="28" t="s">
        <v>136</v>
      </c>
    </row>
    <row r="37" spans="1:9">
      <c r="A37" s="296" t="s">
        <v>105</v>
      </c>
      <c r="B37" s="302">
        <v>45160</v>
      </c>
      <c r="C37" s="296" t="s">
        <v>18</v>
      </c>
      <c r="D37" s="296" t="s">
        <v>12</v>
      </c>
      <c r="E37" s="296" t="s">
        <v>91</v>
      </c>
      <c r="F37" s="12" t="s">
        <v>156</v>
      </c>
      <c r="G37" s="296">
        <v>2</v>
      </c>
      <c r="H37" s="296"/>
      <c r="I37" s="310" t="s">
        <v>131</v>
      </c>
    </row>
    <row r="38" spans="1:9">
      <c r="A38" s="304"/>
      <c r="B38" s="305"/>
      <c r="C38" s="304"/>
      <c r="D38" s="304"/>
      <c r="E38" s="304"/>
      <c r="F38" s="12" t="s">
        <v>157</v>
      </c>
      <c r="G38" s="304"/>
      <c r="H38" s="304"/>
      <c r="I38" s="311"/>
    </row>
    <row r="39" spans="1:9">
      <c r="A39" s="296" t="s">
        <v>105</v>
      </c>
      <c r="B39" s="302">
        <v>45161</v>
      </c>
      <c r="C39" s="296" t="s">
        <v>18</v>
      </c>
      <c r="D39" s="296" t="s">
        <v>12</v>
      </c>
      <c r="E39" s="44" t="s">
        <v>91</v>
      </c>
      <c r="F39" s="12" t="s">
        <v>158</v>
      </c>
      <c r="G39" s="296">
        <v>1.8</v>
      </c>
      <c r="H39" s="42"/>
      <c r="I39" s="43"/>
    </row>
    <row r="40" spans="1:9">
      <c r="A40" s="304"/>
      <c r="B40" s="305"/>
      <c r="C40" s="304"/>
      <c r="D40" s="304"/>
      <c r="E40" s="42"/>
      <c r="F40" s="12" t="s">
        <v>159</v>
      </c>
      <c r="G40" s="304"/>
      <c r="H40" s="16"/>
      <c r="I40" s="14" t="s">
        <v>19</v>
      </c>
    </row>
    <row r="41" spans="1:9" ht="45.75" customHeight="1">
      <c r="A41" s="296" t="s">
        <v>97</v>
      </c>
      <c r="B41" s="302">
        <v>45161</v>
      </c>
      <c r="C41" s="296" t="s">
        <v>160</v>
      </c>
      <c r="D41" s="296" t="s">
        <v>15</v>
      </c>
      <c r="E41" s="296" t="s">
        <v>91</v>
      </c>
      <c r="F41" s="296" t="s">
        <v>161</v>
      </c>
      <c r="G41" s="296">
        <v>1</v>
      </c>
      <c r="H41" s="296"/>
      <c r="I41" s="298" t="s">
        <v>162</v>
      </c>
    </row>
    <row r="42" spans="1:9">
      <c r="A42" s="304"/>
      <c r="B42" s="305"/>
      <c r="C42" s="304"/>
      <c r="D42" s="304"/>
      <c r="E42" s="304"/>
      <c r="F42" s="304"/>
      <c r="G42" s="304"/>
      <c r="H42" s="304"/>
      <c r="I42" s="309"/>
    </row>
    <row r="43" spans="1:9" ht="45.75">
      <c r="A43" s="296" t="s">
        <v>90</v>
      </c>
      <c r="B43" s="302">
        <v>45160</v>
      </c>
      <c r="C43" s="12" t="s">
        <v>152</v>
      </c>
      <c r="D43" s="12" t="s">
        <v>12</v>
      </c>
      <c r="E43" s="12" t="s">
        <v>100</v>
      </c>
      <c r="F43" s="8" t="s">
        <v>163</v>
      </c>
      <c r="G43" s="12">
        <v>3</v>
      </c>
      <c r="H43" s="29"/>
      <c r="I43" s="14" t="s">
        <v>164</v>
      </c>
    </row>
    <row r="44" spans="1:9">
      <c r="A44" s="304"/>
      <c r="B44" s="305"/>
      <c r="C44" s="12"/>
      <c r="D44" s="12"/>
      <c r="E44" s="16"/>
      <c r="F44" s="12"/>
      <c r="G44" s="16"/>
      <c r="H44" s="30"/>
      <c r="I44" s="14"/>
    </row>
    <row r="45" spans="1:9" ht="45.75">
      <c r="A45" s="296" t="s">
        <v>90</v>
      </c>
      <c r="B45" s="302">
        <v>45161</v>
      </c>
      <c r="C45" s="12" t="s">
        <v>152</v>
      </c>
      <c r="D45" s="12" t="s">
        <v>12</v>
      </c>
      <c r="E45" s="12" t="s">
        <v>100</v>
      </c>
      <c r="F45" s="8" t="s">
        <v>165</v>
      </c>
      <c r="G45" s="12">
        <v>2.2000000000000002</v>
      </c>
      <c r="H45" s="29"/>
      <c r="I45" s="14" t="s">
        <v>166</v>
      </c>
    </row>
    <row r="46" spans="1:9">
      <c r="A46" s="304"/>
      <c r="B46" s="305"/>
      <c r="C46" s="12"/>
      <c r="D46" s="12"/>
      <c r="E46" s="16"/>
      <c r="F46" s="12"/>
      <c r="G46" s="16"/>
      <c r="H46" s="30"/>
      <c r="I46" s="14"/>
    </row>
    <row r="47" spans="1:9" ht="15" customHeight="1">
      <c r="A47" s="296" t="s">
        <v>97</v>
      </c>
      <c r="B47" s="302">
        <v>45162</v>
      </c>
      <c r="C47" s="296" t="s">
        <v>22</v>
      </c>
      <c r="D47" s="296" t="s">
        <v>15</v>
      </c>
      <c r="E47" s="296" t="s">
        <v>91</v>
      </c>
      <c r="F47" s="296" t="s">
        <v>167</v>
      </c>
      <c r="G47" s="296">
        <v>4</v>
      </c>
      <c r="H47" s="296"/>
      <c r="I47" s="298" t="s">
        <v>168</v>
      </c>
    </row>
    <row r="48" spans="1:9">
      <c r="A48" s="297"/>
      <c r="B48" s="303"/>
      <c r="C48" s="297"/>
      <c r="D48" s="297"/>
      <c r="E48" s="297"/>
      <c r="F48" s="297"/>
      <c r="G48" s="297"/>
      <c r="H48" s="297"/>
      <c r="I48" s="299"/>
    </row>
    <row r="49" spans="1:9" ht="30.75" customHeight="1">
      <c r="A49" s="296" t="s">
        <v>105</v>
      </c>
      <c r="B49" s="302">
        <v>45162</v>
      </c>
      <c r="C49" s="296" t="s">
        <v>18</v>
      </c>
      <c r="D49" s="296" t="s">
        <v>12</v>
      </c>
      <c r="E49" s="296" t="s">
        <v>91</v>
      </c>
      <c r="F49" s="12" t="s">
        <v>169</v>
      </c>
      <c r="G49" s="12">
        <v>1</v>
      </c>
      <c r="H49" s="12"/>
      <c r="I49" s="312" t="s">
        <v>131</v>
      </c>
    </row>
    <row r="50" spans="1:9" ht="15" customHeight="1">
      <c r="A50" s="297"/>
      <c r="B50" s="303"/>
      <c r="C50" s="297"/>
      <c r="D50" s="297"/>
      <c r="E50" s="297"/>
      <c r="F50" s="53" t="s">
        <v>170</v>
      </c>
      <c r="G50" s="53">
        <v>1</v>
      </c>
      <c r="H50" s="53"/>
      <c r="I50" s="313"/>
    </row>
    <row r="51" spans="1:9">
      <c r="A51" s="29" t="s">
        <v>171</v>
      </c>
      <c r="B51" s="13">
        <v>45162</v>
      </c>
      <c r="C51" s="12" t="s">
        <v>152</v>
      </c>
      <c r="D51" s="12" t="s">
        <v>12</v>
      </c>
      <c r="E51" s="16" t="s">
        <v>91</v>
      </c>
      <c r="F51" s="65" t="s">
        <v>172</v>
      </c>
      <c r="G51" s="12">
        <v>1</v>
      </c>
      <c r="H51" s="16"/>
      <c r="I51" s="14" t="s">
        <v>173</v>
      </c>
    </row>
    <row r="52" spans="1:9" ht="30.75">
      <c r="A52" s="296" t="s">
        <v>90</v>
      </c>
      <c r="B52" s="302">
        <v>45162</v>
      </c>
      <c r="C52" s="12" t="s">
        <v>152</v>
      </c>
      <c r="D52" s="12" t="s">
        <v>12</v>
      </c>
      <c r="E52" s="12" t="s">
        <v>100</v>
      </c>
      <c r="F52" s="8" t="s">
        <v>174</v>
      </c>
      <c r="G52" s="12">
        <v>0.8</v>
      </c>
      <c r="H52" s="29"/>
      <c r="I52" s="14" t="s">
        <v>175</v>
      </c>
    </row>
    <row r="53" spans="1:9">
      <c r="A53" s="297"/>
      <c r="B53" s="303"/>
      <c r="C53" s="12" t="s">
        <v>176</v>
      </c>
      <c r="D53" s="12"/>
      <c r="E53" s="16" t="s">
        <v>177</v>
      </c>
      <c r="F53" s="12"/>
      <c r="G53" s="16"/>
      <c r="H53" s="30"/>
      <c r="I53" s="14" t="s">
        <v>178</v>
      </c>
    </row>
    <row r="54" spans="1:9">
      <c r="A54" s="304"/>
      <c r="B54" s="305"/>
      <c r="C54" s="53" t="s">
        <v>179</v>
      </c>
      <c r="D54" s="53"/>
      <c r="E54" s="70" t="s">
        <v>180</v>
      </c>
      <c r="F54" s="53"/>
      <c r="G54" s="70"/>
      <c r="H54" s="70"/>
      <c r="I54" s="31" t="s">
        <v>181</v>
      </c>
    </row>
    <row r="55" spans="1:9" ht="30.75" customHeight="1">
      <c r="A55" s="296" t="s">
        <v>105</v>
      </c>
      <c r="B55" s="302">
        <v>45163</v>
      </c>
      <c r="C55" s="296" t="s">
        <v>18</v>
      </c>
      <c r="D55" s="296" t="s">
        <v>12</v>
      </c>
      <c r="E55" s="296" t="s">
        <v>91</v>
      </c>
      <c r="F55" s="12" t="s">
        <v>182</v>
      </c>
      <c r="G55" s="296">
        <v>1.6</v>
      </c>
      <c r="H55" s="16"/>
      <c r="I55" s="300" t="s">
        <v>183</v>
      </c>
    </row>
    <row r="56" spans="1:9">
      <c r="A56" s="304"/>
      <c r="B56" s="305"/>
      <c r="C56" s="304"/>
      <c r="D56" s="304"/>
      <c r="E56" s="304"/>
      <c r="F56" s="12" t="s">
        <v>184</v>
      </c>
      <c r="G56" s="304"/>
      <c r="H56" s="16"/>
      <c r="I56" s="301"/>
    </row>
    <row r="57" spans="1:9">
      <c r="A57" s="296" t="s">
        <v>97</v>
      </c>
      <c r="B57" s="302">
        <v>45163</v>
      </c>
      <c r="C57" s="296" t="s">
        <v>18</v>
      </c>
      <c r="D57" s="296" t="s">
        <v>15</v>
      </c>
      <c r="E57" s="296" t="s">
        <v>113</v>
      </c>
      <c r="F57" s="296" t="s">
        <v>185</v>
      </c>
      <c r="G57" s="296">
        <v>3</v>
      </c>
      <c r="H57" s="296"/>
      <c r="I57" s="298" t="s">
        <v>168</v>
      </c>
    </row>
    <row r="58" spans="1:9">
      <c r="A58" s="297"/>
      <c r="B58" s="303"/>
      <c r="C58" s="297"/>
      <c r="D58" s="297"/>
      <c r="E58" s="297"/>
      <c r="F58" s="297"/>
      <c r="G58" s="297"/>
      <c r="H58" s="297"/>
      <c r="I58" s="299"/>
    </row>
    <row r="59" spans="1:9" ht="76.5">
      <c r="A59" s="81" t="s">
        <v>171</v>
      </c>
      <c r="B59" s="80">
        <v>45163</v>
      </c>
      <c r="C59" s="53" t="s">
        <v>152</v>
      </c>
      <c r="D59" s="53" t="s">
        <v>12</v>
      </c>
      <c r="E59" s="70" t="s">
        <v>91</v>
      </c>
      <c r="F59" s="79" t="s">
        <v>186</v>
      </c>
      <c r="G59" s="53">
        <v>1</v>
      </c>
      <c r="H59" s="70"/>
      <c r="I59" s="31" t="s">
        <v>187</v>
      </c>
    </row>
    <row r="60" spans="1:9" ht="30.75">
      <c r="A60" s="317" t="s">
        <v>90</v>
      </c>
      <c r="B60" s="316">
        <v>45163</v>
      </c>
      <c r="C60" s="12" t="s">
        <v>11</v>
      </c>
      <c r="D60" s="12" t="s">
        <v>188</v>
      </c>
      <c r="E60" s="16" t="s">
        <v>189</v>
      </c>
      <c r="F60" s="12"/>
      <c r="G60" s="16"/>
      <c r="H60" s="16"/>
      <c r="I60" s="14" t="s">
        <v>190</v>
      </c>
    </row>
    <row r="61" spans="1:9" ht="30.75">
      <c r="A61" s="317"/>
      <c r="B61" s="316"/>
      <c r="C61" s="12" t="s">
        <v>179</v>
      </c>
      <c r="D61" s="12"/>
      <c r="E61" s="16" t="s">
        <v>180</v>
      </c>
      <c r="F61" s="12"/>
      <c r="G61" s="16"/>
      <c r="H61" s="16"/>
      <c r="I61" s="14" t="s">
        <v>191</v>
      </c>
    </row>
    <row r="62" spans="1:9">
      <c r="A62" s="296" t="s">
        <v>105</v>
      </c>
      <c r="B62" s="302">
        <v>45166</v>
      </c>
      <c r="C62" s="296" t="s">
        <v>18</v>
      </c>
      <c r="D62" s="296" t="s">
        <v>12</v>
      </c>
      <c r="E62" s="314" t="s">
        <v>91</v>
      </c>
      <c r="F62" s="12" t="s">
        <v>192</v>
      </c>
      <c r="G62" s="16">
        <v>1</v>
      </c>
      <c r="H62" s="16"/>
      <c r="I62" s="312" t="s">
        <v>131</v>
      </c>
    </row>
    <row r="63" spans="1:9">
      <c r="A63" s="304"/>
      <c r="B63" s="305"/>
      <c r="C63" s="304"/>
      <c r="D63" s="304"/>
      <c r="E63" s="315"/>
      <c r="F63" s="128" t="s">
        <v>193</v>
      </c>
      <c r="G63" s="16">
        <v>1</v>
      </c>
      <c r="H63" s="16"/>
      <c r="I63" s="313"/>
    </row>
    <row r="64" spans="1:9">
      <c r="A64" s="296" t="s">
        <v>97</v>
      </c>
      <c r="B64" s="302">
        <v>45166</v>
      </c>
      <c r="C64" s="296" t="s">
        <v>18</v>
      </c>
      <c r="D64" s="296" t="s">
        <v>15</v>
      </c>
      <c r="E64" s="296" t="s">
        <v>113</v>
      </c>
      <c r="F64" s="296" t="s">
        <v>194</v>
      </c>
      <c r="G64" s="296">
        <v>4</v>
      </c>
      <c r="H64" s="296"/>
      <c r="I64" s="298" t="s">
        <v>195</v>
      </c>
    </row>
    <row r="65" spans="1:9" ht="30" customHeight="1">
      <c r="A65" s="297"/>
      <c r="B65" s="303"/>
      <c r="C65" s="297"/>
      <c r="D65" s="297"/>
      <c r="E65" s="297"/>
      <c r="F65" s="297"/>
      <c r="G65" s="297"/>
      <c r="H65" s="297"/>
      <c r="I65" s="299"/>
    </row>
    <row r="66" spans="1:9" ht="43.5" customHeight="1">
      <c r="A66" s="81" t="s">
        <v>171</v>
      </c>
      <c r="B66" s="80">
        <v>45166</v>
      </c>
      <c r="C66" s="81" t="s">
        <v>152</v>
      </c>
      <c r="D66" s="12" t="s">
        <v>12</v>
      </c>
      <c r="E66" s="95" t="s">
        <v>91</v>
      </c>
      <c r="F66" s="79" t="s">
        <v>196</v>
      </c>
      <c r="G66" s="53">
        <v>1</v>
      </c>
      <c r="H66" s="70"/>
      <c r="I66" s="31" t="s">
        <v>197</v>
      </c>
    </row>
    <row r="67" spans="1:9" ht="30.75">
      <c r="A67" s="12" t="s">
        <v>90</v>
      </c>
      <c r="B67" s="80">
        <v>45166</v>
      </c>
      <c r="C67" s="29" t="s">
        <v>198</v>
      </c>
      <c r="D67" s="12" t="s">
        <v>12</v>
      </c>
      <c r="E67" s="96" t="s">
        <v>199</v>
      </c>
      <c r="F67" s="12"/>
      <c r="G67" s="16">
        <v>6</v>
      </c>
      <c r="H67" s="16">
        <v>155</v>
      </c>
      <c r="I67" s="14" t="s">
        <v>200</v>
      </c>
    </row>
    <row r="68" spans="1:9" ht="30.75" customHeight="1">
      <c r="A68" s="296" t="s">
        <v>105</v>
      </c>
      <c r="B68" s="302">
        <v>45167</v>
      </c>
      <c r="C68" s="296" t="s">
        <v>18</v>
      </c>
      <c r="D68" s="297" t="s">
        <v>12</v>
      </c>
      <c r="E68" s="16" t="s">
        <v>91</v>
      </c>
      <c r="F68" s="12" t="s">
        <v>201</v>
      </c>
      <c r="G68" s="16">
        <v>1</v>
      </c>
      <c r="H68" s="16"/>
      <c r="I68" s="300" t="s">
        <v>202</v>
      </c>
    </row>
    <row r="69" spans="1:9">
      <c r="A69" s="304"/>
      <c r="B69" s="305"/>
      <c r="C69" s="304"/>
      <c r="D69" s="304"/>
      <c r="E69" s="16"/>
      <c r="F69" s="12" t="s">
        <v>203</v>
      </c>
      <c r="G69" s="16">
        <v>0.2</v>
      </c>
      <c r="H69" s="16"/>
      <c r="I69" s="301"/>
    </row>
    <row r="70" spans="1:9" ht="15" customHeight="1">
      <c r="A70" s="296" t="s">
        <v>97</v>
      </c>
      <c r="B70" s="302">
        <v>45167</v>
      </c>
      <c r="C70" s="296" t="s">
        <v>18</v>
      </c>
      <c r="D70" s="296" t="s">
        <v>15</v>
      </c>
      <c r="E70" s="296" t="s">
        <v>113</v>
      </c>
      <c r="F70" s="296" t="s">
        <v>204</v>
      </c>
      <c r="G70" s="296">
        <v>5</v>
      </c>
      <c r="H70" s="296"/>
      <c r="I70" s="298" t="s">
        <v>168</v>
      </c>
    </row>
    <row r="71" spans="1:9">
      <c r="A71" s="297"/>
      <c r="B71" s="303"/>
      <c r="C71" s="297"/>
      <c r="D71" s="297"/>
      <c r="E71" s="297"/>
      <c r="F71" s="297"/>
      <c r="G71" s="297"/>
      <c r="H71" s="297"/>
      <c r="I71" s="299"/>
    </row>
    <row r="72" spans="1:9" ht="76.5">
      <c r="A72" s="81" t="s">
        <v>171</v>
      </c>
      <c r="B72" s="80">
        <v>45167</v>
      </c>
      <c r="C72" s="97" t="s">
        <v>205</v>
      </c>
      <c r="D72" s="8" t="s">
        <v>206</v>
      </c>
      <c r="E72" s="95" t="s">
        <v>91</v>
      </c>
      <c r="F72" s="79" t="s">
        <v>207</v>
      </c>
      <c r="G72" s="53">
        <v>1</v>
      </c>
      <c r="H72" s="70"/>
      <c r="I72" s="31" t="s">
        <v>208</v>
      </c>
    </row>
    <row r="73" spans="1:9">
      <c r="A73" s="296" t="s">
        <v>90</v>
      </c>
      <c r="B73" s="302">
        <v>45167</v>
      </c>
      <c r="C73" s="29" t="s">
        <v>209</v>
      </c>
      <c r="D73" s="12" t="s">
        <v>210</v>
      </c>
      <c r="E73" s="16" t="s">
        <v>211</v>
      </c>
      <c r="F73" s="12"/>
      <c r="G73" s="16">
        <v>6</v>
      </c>
      <c r="H73" s="16">
        <v>195</v>
      </c>
      <c r="I73" s="14" t="s">
        <v>212</v>
      </c>
    </row>
    <row r="74" spans="1:9">
      <c r="A74" s="297"/>
      <c r="B74" s="303"/>
      <c r="C74" s="81" t="s">
        <v>213</v>
      </c>
      <c r="D74" s="106" t="s">
        <v>12</v>
      </c>
      <c r="E74" s="70" t="s">
        <v>211</v>
      </c>
      <c r="F74" s="53"/>
      <c r="G74" s="70">
        <v>4</v>
      </c>
      <c r="H74" s="70">
        <v>105</v>
      </c>
      <c r="I74" s="31"/>
    </row>
    <row r="75" spans="1:9" ht="30.75" customHeight="1">
      <c r="A75" s="317" t="s">
        <v>105</v>
      </c>
      <c r="B75" s="316">
        <v>45168</v>
      </c>
      <c r="C75" s="317" t="s">
        <v>18</v>
      </c>
      <c r="D75" s="317" t="s">
        <v>12</v>
      </c>
      <c r="E75" s="318" t="s">
        <v>91</v>
      </c>
      <c r="F75" s="12" t="s">
        <v>214</v>
      </c>
      <c r="G75" s="16">
        <v>0.4</v>
      </c>
      <c r="H75" s="317"/>
      <c r="I75" s="319" t="s">
        <v>148</v>
      </c>
    </row>
    <row r="76" spans="1:9">
      <c r="A76" s="317"/>
      <c r="B76" s="316"/>
      <c r="C76" s="317"/>
      <c r="D76" s="317"/>
      <c r="E76" s="318"/>
      <c r="F76" s="12" t="s">
        <v>203</v>
      </c>
      <c r="G76" s="16">
        <v>0.8</v>
      </c>
      <c r="H76" s="317"/>
      <c r="I76" s="319"/>
    </row>
    <row r="77" spans="1:9">
      <c r="A77" s="317"/>
      <c r="B77" s="316"/>
      <c r="C77" s="317"/>
      <c r="D77" s="317"/>
      <c r="E77" s="318"/>
      <c r="F77" s="12" t="s">
        <v>215</v>
      </c>
      <c r="G77" s="16">
        <v>1</v>
      </c>
      <c r="H77" s="317"/>
      <c r="I77" s="319"/>
    </row>
    <row r="78" spans="1:9" ht="15" customHeight="1">
      <c r="A78" s="296" t="s">
        <v>97</v>
      </c>
      <c r="B78" s="302">
        <v>45168</v>
      </c>
      <c r="C78" s="296" t="s">
        <v>216</v>
      </c>
      <c r="D78" s="300" t="s">
        <v>12</v>
      </c>
      <c r="E78" s="296" t="s">
        <v>217</v>
      </c>
      <c r="F78" s="296" t="s">
        <v>218</v>
      </c>
      <c r="G78" s="296">
        <v>1</v>
      </c>
      <c r="H78" s="296">
        <v>20</v>
      </c>
      <c r="I78" s="298" t="s">
        <v>219</v>
      </c>
    </row>
    <row r="79" spans="1:9">
      <c r="A79" s="297"/>
      <c r="B79" s="303"/>
      <c r="C79" s="297"/>
      <c r="D79" s="297"/>
      <c r="E79" s="297"/>
      <c r="F79" s="297"/>
      <c r="G79" s="297"/>
      <c r="H79" s="297"/>
      <c r="I79" s="299"/>
    </row>
    <row r="80" spans="1:9" ht="45.75">
      <c r="A80" s="12" t="s">
        <v>171</v>
      </c>
      <c r="B80" s="13">
        <v>45168</v>
      </c>
      <c r="C80" s="12" t="s">
        <v>11</v>
      </c>
      <c r="D80" s="8" t="s">
        <v>12</v>
      </c>
      <c r="E80" s="16" t="s">
        <v>91</v>
      </c>
      <c r="F80" s="79" t="s">
        <v>220</v>
      </c>
      <c r="G80" s="16"/>
      <c r="H80" s="16"/>
      <c r="I80" s="14" t="s">
        <v>221</v>
      </c>
    </row>
    <row r="81" spans="1:9">
      <c r="A81" s="317" t="s">
        <v>90</v>
      </c>
      <c r="B81" s="316">
        <v>45168</v>
      </c>
      <c r="C81" s="12" t="s">
        <v>209</v>
      </c>
      <c r="D81" s="12" t="s">
        <v>210</v>
      </c>
      <c r="E81" s="16" t="s">
        <v>211</v>
      </c>
      <c r="F81" s="12"/>
      <c r="G81" s="16">
        <v>1</v>
      </c>
      <c r="H81" s="16"/>
      <c r="I81" s="14" t="s">
        <v>222</v>
      </c>
    </row>
    <row r="82" spans="1:9" ht="30.75">
      <c r="A82" s="317"/>
      <c r="B82" s="316"/>
      <c r="C82" s="12" t="s">
        <v>213</v>
      </c>
      <c r="D82" s="8" t="s">
        <v>12</v>
      </c>
      <c r="E82" s="70" t="s">
        <v>211</v>
      </c>
      <c r="F82" s="12"/>
      <c r="G82" s="16">
        <v>9</v>
      </c>
      <c r="H82" s="16">
        <v>250</v>
      </c>
      <c r="I82" s="14" t="s">
        <v>223</v>
      </c>
    </row>
    <row r="83" spans="1:9" ht="45.75">
      <c r="A83" s="53" t="s">
        <v>171</v>
      </c>
      <c r="B83" s="80">
        <v>45169</v>
      </c>
      <c r="C83" s="53" t="s">
        <v>11</v>
      </c>
      <c r="D83" s="97" t="s">
        <v>12</v>
      </c>
      <c r="E83" s="12" t="s">
        <v>91</v>
      </c>
      <c r="F83" s="79" t="s">
        <v>224</v>
      </c>
      <c r="G83" s="70"/>
      <c r="H83" s="70"/>
      <c r="I83" s="14" t="s">
        <v>225</v>
      </c>
    </row>
    <row r="84" spans="1:9">
      <c r="A84" s="317" t="s">
        <v>105</v>
      </c>
      <c r="B84" s="316">
        <v>45169</v>
      </c>
      <c r="C84" s="317" t="s">
        <v>18</v>
      </c>
      <c r="D84" s="321" t="s">
        <v>12</v>
      </c>
      <c r="E84" s="304" t="s">
        <v>91</v>
      </c>
      <c r="F84" s="65" t="s">
        <v>226</v>
      </c>
      <c r="G84" s="16">
        <v>1</v>
      </c>
      <c r="H84" s="16"/>
      <c r="I84" s="301" t="s">
        <v>131</v>
      </c>
    </row>
    <row r="85" spans="1:9">
      <c r="A85" s="317"/>
      <c r="B85" s="316"/>
      <c r="C85" s="317"/>
      <c r="D85" s="321"/>
      <c r="E85" s="317"/>
      <c r="F85" s="65" t="s">
        <v>227</v>
      </c>
      <c r="G85" s="16">
        <v>1</v>
      </c>
      <c r="H85" s="16"/>
      <c r="I85" s="320"/>
    </row>
    <row r="86" spans="1:9" ht="15" customHeight="1">
      <c r="A86" s="296" t="s">
        <v>97</v>
      </c>
      <c r="B86" s="302">
        <v>45169</v>
      </c>
      <c r="C86" s="296" t="s">
        <v>228</v>
      </c>
      <c r="D86" s="300" t="s">
        <v>14</v>
      </c>
      <c r="E86" s="304" t="s">
        <v>91</v>
      </c>
      <c r="F86" s="296" t="s">
        <v>218</v>
      </c>
      <c r="G86" s="296">
        <v>1</v>
      </c>
      <c r="H86" s="296"/>
      <c r="I86" s="298" t="s">
        <v>229</v>
      </c>
    </row>
    <row r="87" spans="1:9" ht="44.25" customHeight="1">
      <c r="A87" s="297"/>
      <c r="B87" s="303"/>
      <c r="C87" s="297"/>
      <c r="D87" s="297"/>
      <c r="E87" s="296"/>
      <c r="F87" s="297"/>
      <c r="G87" s="297"/>
      <c r="H87" s="297"/>
      <c r="I87" s="299"/>
    </row>
    <row r="88" spans="1:9" ht="30.75">
      <c r="A88" s="53" t="s">
        <v>105</v>
      </c>
      <c r="B88" s="80">
        <v>45170</v>
      </c>
      <c r="C88" s="53" t="s">
        <v>18</v>
      </c>
      <c r="D88" s="81" t="s">
        <v>14</v>
      </c>
      <c r="E88" s="127" t="s">
        <v>91</v>
      </c>
      <c r="F88" s="79" t="s">
        <v>230</v>
      </c>
      <c r="G88" s="70"/>
      <c r="H88" s="70"/>
      <c r="I88" s="31" t="s">
        <v>231</v>
      </c>
    </row>
    <row r="89" spans="1:9" ht="30.75">
      <c r="A89" s="16" t="s">
        <v>97</v>
      </c>
      <c r="B89" s="13">
        <v>45170</v>
      </c>
      <c r="C89" s="12" t="s">
        <v>216</v>
      </c>
      <c r="D89" s="12" t="s">
        <v>12</v>
      </c>
      <c r="E89" s="12" t="s">
        <v>232</v>
      </c>
      <c r="F89" s="12" t="s">
        <v>233</v>
      </c>
      <c r="G89" s="12">
        <v>3</v>
      </c>
      <c r="H89" s="16"/>
      <c r="I89" s="14" t="s">
        <v>219</v>
      </c>
    </row>
    <row r="90" spans="1:9">
      <c r="A90" s="53"/>
      <c r="B90" s="53"/>
      <c r="C90" s="53"/>
      <c r="D90" s="53"/>
      <c r="E90" s="70"/>
      <c r="F90" s="53"/>
      <c r="G90" s="70"/>
      <c r="H90" s="70"/>
      <c r="I90" s="31"/>
    </row>
    <row r="91" spans="1:9">
      <c r="A91" s="317" t="s">
        <v>90</v>
      </c>
      <c r="B91" s="316">
        <v>45169</v>
      </c>
      <c r="C91" s="12"/>
      <c r="D91" s="12"/>
      <c r="E91" s="16" t="s">
        <v>234</v>
      </c>
      <c r="F91" s="12"/>
      <c r="G91" s="16"/>
      <c r="H91" s="16"/>
      <c r="I91" s="14" t="s">
        <v>235</v>
      </c>
    </row>
    <row r="92" spans="1:9" ht="30.75" customHeight="1">
      <c r="A92" s="317"/>
      <c r="B92" s="316"/>
      <c r="C92" s="12" t="s">
        <v>213</v>
      </c>
      <c r="D92" s="8" t="s">
        <v>12</v>
      </c>
      <c r="E92" s="16" t="s">
        <v>211</v>
      </c>
      <c r="F92" s="12"/>
      <c r="G92" s="16">
        <v>9</v>
      </c>
      <c r="H92" s="16">
        <v>250</v>
      </c>
      <c r="I92" s="14" t="s">
        <v>223</v>
      </c>
    </row>
  </sheetData>
  <mergeCells count="151">
    <mergeCell ref="A91:A92"/>
    <mergeCell ref="B91:B92"/>
    <mergeCell ref="I84:I85"/>
    <mergeCell ref="E84:E85"/>
    <mergeCell ref="D84:D85"/>
    <mergeCell ref="C84:C85"/>
    <mergeCell ref="B84:B85"/>
    <mergeCell ref="A84:A85"/>
    <mergeCell ref="A81:A82"/>
    <mergeCell ref="B81:B82"/>
    <mergeCell ref="A86:A87"/>
    <mergeCell ref="B86:B87"/>
    <mergeCell ref="C86:C87"/>
    <mergeCell ref="D86:D87"/>
    <mergeCell ref="E86:E87"/>
    <mergeCell ref="F86:F87"/>
    <mergeCell ref="G86:G87"/>
    <mergeCell ref="H86:H87"/>
    <mergeCell ref="I86:I87"/>
    <mergeCell ref="A75:A77"/>
    <mergeCell ref="B75:B77"/>
    <mergeCell ref="C75:C77"/>
    <mergeCell ref="D75:D77"/>
    <mergeCell ref="E75:E77"/>
    <mergeCell ref="H75:H77"/>
    <mergeCell ref="I75:I77"/>
    <mergeCell ref="A78:A79"/>
    <mergeCell ref="B78:B79"/>
    <mergeCell ref="C78:C79"/>
    <mergeCell ref="D78:D79"/>
    <mergeCell ref="E78:E79"/>
    <mergeCell ref="F78:F79"/>
    <mergeCell ref="G78:G79"/>
    <mergeCell ref="H78:H79"/>
    <mergeCell ref="I78:I79"/>
    <mergeCell ref="A73:A74"/>
    <mergeCell ref="B73:B74"/>
    <mergeCell ref="I57:I58"/>
    <mergeCell ref="G55:G56"/>
    <mergeCell ref="A55:A56"/>
    <mergeCell ref="B55:B56"/>
    <mergeCell ref="C55:C56"/>
    <mergeCell ref="A45:A46"/>
    <mergeCell ref="B45:B46"/>
    <mergeCell ref="I62:I63"/>
    <mergeCell ref="A62:A63"/>
    <mergeCell ref="B62:B63"/>
    <mergeCell ref="C62:C63"/>
    <mergeCell ref="D62:D63"/>
    <mergeCell ref="E62:E63"/>
    <mergeCell ref="I49:I50"/>
    <mergeCell ref="D55:D56"/>
    <mergeCell ref="E55:E56"/>
    <mergeCell ref="B60:B61"/>
    <mergeCell ref="A60:A61"/>
    <mergeCell ref="I55:I56"/>
    <mergeCell ref="A57:A58"/>
    <mergeCell ref="B57:B58"/>
    <mergeCell ref="C57:C58"/>
    <mergeCell ref="F41:F42"/>
    <mergeCell ref="G41:G42"/>
    <mergeCell ref="F47:F48"/>
    <mergeCell ref="G47:G48"/>
    <mergeCell ref="E49:E50"/>
    <mergeCell ref="A52:A54"/>
    <mergeCell ref="B52:B54"/>
    <mergeCell ref="D41:D42"/>
    <mergeCell ref="G39:G40"/>
    <mergeCell ref="A39:A40"/>
    <mergeCell ref="B39:B40"/>
    <mergeCell ref="C39:C40"/>
    <mergeCell ref="D39:D40"/>
    <mergeCell ref="B43:B44"/>
    <mergeCell ref="A41:A42"/>
    <mergeCell ref="E41:E42"/>
    <mergeCell ref="B41:B42"/>
    <mergeCell ref="C41:C42"/>
    <mergeCell ref="A49:A50"/>
    <mergeCell ref="B49:B50"/>
    <mergeCell ref="C49:C50"/>
    <mergeCell ref="D49:D50"/>
    <mergeCell ref="H37:H38"/>
    <mergeCell ref="I37:I38"/>
    <mergeCell ref="A37:A38"/>
    <mergeCell ref="B37:B38"/>
    <mergeCell ref="C37:C38"/>
    <mergeCell ref="D37:D38"/>
    <mergeCell ref="E37:E38"/>
    <mergeCell ref="I20:I21"/>
    <mergeCell ref="A20:A21"/>
    <mergeCell ref="B20:B21"/>
    <mergeCell ref="C20:C21"/>
    <mergeCell ref="D20:D21"/>
    <mergeCell ref="E20:E21"/>
    <mergeCell ref="A28:A29"/>
    <mergeCell ref="B28:B29"/>
    <mergeCell ref="A34:A35"/>
    <mergeCell ref="B34:B35"/>
    <mergeCell ref="G37:G38"/>
    <mergeCell ref="E14:E16"/>
    <mergeCell ref="D14:D16"/>
    <mergeCell ref="C14:C16"/>
    <mergeCell ref="B14:B16"/>
    <mergeCell ref="A14:A16"/>
    <mergeCell ref="A24:A25"/>
    <mergeCell ref="B24:B25"/>
    <mergeCell ref="H47:H48"/>
    <mergeCell ref="I47:I48"/>
    <mergeCell ref="A47:A48"/>
    <mergeCell ref="B47:B48"/>
    <mergeCell ref="C47:C48"/>
    <mergeCell ref="D47:D48"/>
    <mergeCell ref="E47:E48"/>
    <mergeCell ref="G30:G32"/>
    <mergeCell ref="I30:I32"/>
    <mergeCell ref="A30:A32"/>
    <mergeCell ref="B30:B32"/>
    <mergeCell ref="C30:C32"/>
    <mergeCell ref="D30:D32"/>
    <mergeCell ref="E30:E32"/>
    <mergeCell ref="H41:H42"/>
    <mergeCell ref="I41:I42"/>
    <mergeCell ref="A43:A44"/>
    <mergeCell ref="D57:D58"/>
    <mergeCell ref="E57:E58"/>
    <mergeCell ref="F57:F58"/>
    <mergeCell ref="G57:G58"/>
    <mergeCell ref="H57:H58"/>
    <mergeCell ref="F64:F65"/>
    <mergeCell ref="G64:G65"/>
    <mergeCell ref="H64:H65"/>
    <mergeCell ref="I64:I65"/>
    <mergeCell ref="A64:A65"/>
    <mergeCell ref="B64:B65"/>
    <mergeCell ref="C64:C65"/>
    <mergeCell ref="D64:D65"/>
    <mergeCell ref="E64:E65"/>
    <mergeCell ref="D68:D69"/>
    <mergeCell ref="C68:C69"/>
    <mergeCell ref="B68:B69"/>
    <mergeCell ref="A68:A69"/>
    <mergeCell ref="F70:F71"/>
    <mergeCell ref="G70:G71"/>
    <mergeCell ref="H70:H71"/>
    <mergeCell ref="I70:I71"/>
    <mergeCell ref="I68:I69"/>
    <mergeCell ref="A70:A71"/>
    <mergeCell ref="B70:B71"/>
    <mergeCell ref="C70:C71"/>
    <mergeCell ref="D70:D71"/>
    <mergeCell ref="E70:E7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2D80F-81E4-4DAA-AEFD-9F5AE30E43A0}">
  <dimension ref="A1:L81"/>
  <sheetViews>
    <sheetView topLeftCell="A66" workbookViewId="0">
      <selection activeCell="A67" sqref="A67"/>
    </sheetView>
  </sheetViews>
  <sheetFormatPr defaultRowHeight="15"/>
  <cols>
    <col min="1" max="1" width="9.28515625" bestFit="1" customWidth="1"/>
    <col min="2" max="2" width="12.28515625" style="129" customWidth="1"/>
    <col min="3" max="3" width="15.42578125" bestFit="1" customWidth="1"/>
    <col min="4" max="4" width="10.85546875" customWidth="1"/>
    <col min="5" max="5" width="49.42578125" style="129" bestFit="1" customWidth="1"/>
    <col min="6" max="6" width="36.85546875" customWidth="1"/>
    <col min="9" max="9" width="39" customWidth="1"/>
  </cols>
  <sheetData>
    <row r="1" spans="1:12">
      <c r="A1" s="126" t="s">
        <v>84</v>
      </c>
      <c r="B1" s="126" t="s">
        <v>85</v>
      </c>
      <c r="C1" s="126" t="s">
        <v>86</v>
      </c>
      <c r="D1" s="126" t="s">
        <v>1</v>
      </c>
      <c r="E1" s="126" t="s">
        <v>2</v>
      </c>
      <c r="F1" s="126" t="s">
        <v>87</v>
      </c>
      <c r="G1" s="126" t="s">
        <v>88</v>
      </c>
      <c r="H1" s="126" t="s">
        <v>89</v>
      </c>
      <c r="I1" s="17" t="s">
        <v>10</v>
      </c>
    </row>
    <row r="2" spans="1:12" ht="30.75">
      <c r="A2" s="317" t="s">
        <v>90</v>
      </c>
      <c r="B2" s="316">
        <v>45170</v>
      </c>
      <c r="C2" s="12"/>
      <c r="D2" s="12"/>
      <c r="E2" s="12" t="s">
        <v>234</v>
      </c>
      <c r="F2" s="16"/>
      <c r="G2" s="16"/>
      <c r="H2" s="16"/>
      <c r="I2" s="14" t="s">
        <v>236</v>
      </c>
    </row>
    <row r="3" spans="1:12" ht="30.75">
      <c r="A3" s="317"/>
      <c r="B3" s="316"/>
      <c r="C3" s="12" t="s">
        <v>213</v>
      </c>
      <c r="D3" s="8" t="s">
        <v>12</v>
      </c>
      <c r="E3" s="12" t="s">
        <v>211</v>
      </c>
      <c r="F3" s="16"/>
      <c r="G3" s="16">
        <v>3</v>
      </c>
      <c r="H3" s="16">
        <v>100</v>
      </c>
      <c r="I3" s="14" t="s">
        <v>237</v>
      </c>
    </row>
    <row r="4" spans="1:12" ht="30.75">
      <c r="A4" s="12" t="s">
        <v>105</v>
      </c>
      <c r="B4" s="13">
        <v>45173</v>
      </c>
      <c r="C4" s="12" t="s">
        <v>18</v>
      </c>
      <c r="D4" s="12" t="s">
        <v>238</v>
      </c>
      <c r="E4" s="12" t="s">
        <v>91</v>
      </c>
      <c r="F4" s="12"/>
      <c r="G4" s="12"/>
      <c r="H4" s="12"/>
      <c r="I4" s="8" t="s">
        <v>231</v>
      </c>
    </row>
    <row r="5" spans="1:12" ht="45.75">
      <c r="A5" s="16" t="s">
        <v>97</v>
      </c>
      <c r="B5" s="13">
        <v>45173</v>
      </c>
      <c r="C5" s="12" t="s">
        <v>216</v>
      </c>
      <c r="D5" s="12" t="s">
        <v>12</v>
      </c>
      <c r="E5" s="12" t="s">
        <v>232</v>
      </c>
      <c r="F5" s="12" t="s">
        <v>239</v>
      </c>
      <c r="G5" s="12">
        <v>2</v>
      </c>
      <c r="H5" s="16"/>
      <c r="I5" s="14" t="s">
        <v>240</v>
      </c>
    </row>
    <row r="6" spans="1:12" ht="76.5">
      <c r="A6" s="12" t="s">
        <v>171</v>
      </c>
      <c r="B6" s="13">
        <v>45173</v>
      </c>
      <c r="C6" s="12" t="s">
        <v>11</v>
      </c>
      <c r="D6" s="8" t="s">
        <v>12</v>
      </c>
      <c r="E6" s="12" t="s">
        <v>91</v>
      </c>
      <c r="F6" s="12"/>
      <c r="G6" s="16"/>
      <c r="H6" s="16"/>
      <c r="I6" s="14" t="s">
        <v>241</v>
      </c>
    </row>
    <row r="7" spans="1:12">
      <c r="A7" s="317" t="s">
        <v>90</v>
      </c>
      <c r="B7" s="316">
        <v>45173</v>
      </c>
      <c r="C7" s="12"/>
      <c r="D7" s="12"/>
      <c r="E7" s="12" t="s">
        <v>242</v>
      </c>
      <c r="F7" s="16"/>
      <c r="G7" s="16"/>
      <c r="H7" s="16"/>
      <c r="I7" s="14"/>
      <c r="J7" s="143"/>
      <c r="K7" s="10"/>
      <c r="L7" s="10"/>
    </row>
    <row r="8" spans="1:12" ht="30.75">
      <c r="A8" s="317"/>
      <c r="B8" s="316"/>
      <c r="C8" s="12" t="s">
        <v>213</v>
      </c>
      <c r="D8" s="8" t="s">
        <v>12</v>
      </c>
      <c r="E8" s="12" t="s">
        <v>211</v>
      </c>
      <c r="F8" s="16"/>
      <c r="G8" s="16">
        <v>7</v>
      </c>
      <c r="H8" s="16">
        <v>200</v>
      </c>
      <c r="I8" s="14" t="s">
        <v>243</v>
      </c>
      <c r="J8" s="143"/>
      <c r="K8" s="10"/>
      <c r="L8" s="10"/>
    </row>
    <row r="9" spans="1:12" ht="106.5">
      <c r="A9" s="12" t="s">
        <v>171</v>
      </c>
      <c r="B9" s="13">
        <v>45174</v>
      </c>
      <c r="C9" s="12" t="s">
        <v>244</v>
      </c>
      <c r="D9" s="8" t="s">
        <v>12</v>
      </c>
      <c r="E9" s="12" t="s">
        <v>245</v>
      </c>
      <c r="F9" s="12"/>
      <c r="G9" s="16"/>
      <c r="H9" s="16"/>
      <c r="I9" s="14" t="s">
        <v>246</v>
      </c>
      <c r="J9" s="143"/>
      <c r="K9" s="10"/>
      <c r="L9" s="10"/>
    </row>
    <row r="10" spans="1:12" ht="45.75">
      <c r="A10" s="16" t="s">
        <v>97</v>
      </c>
      <c r="B10" s="13">
        <v>45174</v>
      </c>
      <c r="C10" s="12" t="s">
        <v>216</v>
      </c>
      <c r="D10" s="12" t="s">
        <v>12</v>
      </c>
      <c r="E10" s="12" t="s">
        <v>232</v>
      </c>
      <c r="F10" s="12" t="s">
        <v>247</v>
      </c>
      <c r="G10" s="12">
        <v>2</v>
      </c>
      <c r="H10" s="16"/>
      <c r="I10" s="14" t="s">
        <v>240</v>
      </c>
      <c r="J10" s="143"/>
      <c r="K10" s="10"/>
      <c r="L10" s="10"/>
    </row>
    <row r="11" spans="1:12">
      <c r="A11" s="10" t="s">
        <v>105</v>
      </c>
      <c r="B11" s="130">
        <v>45174</v>
      </c>
      <c r="C11" s="10" t="s">
        <v>18</v>
      </c>
      <c r="D11" s="10" t="s">
        <v>238</v>
      </c>
      <c r="E11" s="12" t="s">
        <v>91</v>
      </c>
      <c r="F11" s="10" t="s">
        <v>248</v>
      </c>
      <c r="G11" s="10"/>
      <c r="H11" s="10"/>
      <c r="I11" s="10" t="s">
        <v>249</v>
      </c>
      <c r="J11" s="143"/>
      <c r="K11" s="10"/>
      <c r="L11" s="10"/>
    </row>
    <row r="12" spans="1:12">
      <c r="A12" s="10" t="s">
        <v>90</v>
      </c>
      <c r="B12" s="130">
        <v>45174</v>
      </c>
      <c r="C12" s="10"/>
      <c r="D12" s="10"/>
      <c r="E12" s="40" t="s">
        <v>250</v>
      </c>
      <c r="F12" s="10"/>
      <c r="G12" s="10"/>
      <c r="H12" s="10"/>
      <c r="I12" s="10" t="s">
        <v>251</v>
      </c>
      <c r="J12" s="143"/>
      <c r="K12" s="10"/>
      <c r="L12" s="10"/>
    </row>
    <row r="13" spans="1:12">
      <c r="A13" s="10"/>
      <c r="B13" s="40"/>
      <c r="C13" s="10"/>
      <c r="D13" s="10"/>
      <c r="E13" s="40" t="s">
        <v>252</v>
      </c>
      <c r="F13" s="10"/>
      <c r="G13" s="10"/>
      <c r="H13" s="10"/>
      <c r="I13" s="10"/>
      <c r="J13" s="143"/>
      <c r="K13" s="10"/>
      <c r="L13" s="10"/>
    </row>
    <row r="14" spans="1:12" ht="60.75">
      <c r="A14" s="12" t="s">
        <v>171</v>
      </c>
      <c r="B14" s="13">
        <v>45174</v>
      </c>
      <c r="C14" s="12" t="s">
        <v>244</v>
      </c>
      <c r="D14" s="8" t="s">
        <v>12</v>
      </c>
      <c r="E14" s="12" t="s">
        <v>245</v>
      </c>
      <c r="F14" s="12"/>
      <c r="G14" s="16"/>
      <c r="H14" s="16"/>
      <c r="I14" s="14" t="s">
        <v>253</v>
      </c>
      <c r="J14" s="143"/>
      <c r="K14" s="10"/>
      <c r="L14" s="10"/>
    </row>
    <row r="15" spans="1:12" ht="30.75">
      <c r="A15" s="16" t="s">
        <v>97</v>
      </c>
      <c r="B15" s="13">
        <v>45175</v>
      </c>
      <c r="C15" s="12" t="s">
        <v>216</v>
      </c>
      <c r="D15" s="12" t="s">
        <v>12</v>
      </c>
      <c r="E15" s="12" t="s">
        <v>232</v>
      </c>
      <c r="F15" s="12" t="s">
        <v>254</v>
      </c>
      <c r="G15" s="12">
        <v>2</v>
      </c>
      <c r="H15" s="16"/>
      <c r="I15" s="14" t="s">
        <v>255</v>
      </c>
      <c r="J15" s="143"/>
      <c r="K15" s="10"/>
      <c r="L15" s="10"/>
    </row>
    <row r="16" spans="1:12" ht="45.75">
      <c r="A16" s="133" t="s">
        <v>105</v>
      </c>
      <c r="B16" s="13">
        <v>45175</v>
      </c>
      <c r="C16" s="16" t="s">
        <v>18</v>
      </c>
      <c r="D16" s="16" t="s">
        <v>238</v>
      </c>
      <c r="E16" s="12" t="s">
        <v>91</v>
      </c>
      <c r="F16" s="132"/>
      <c r="G16" s="10"/>
      <c r="H16" s="10"/>
      <c r="I16" s="132" t="s">
        <v>256</v>
      </c>
      <c r="J16" s="143"/>
      <c r="K16" s="10"/>
      <c r="L16" s="10"/>
    </row>
    <row r="17" spans="1:12">
      <c r="A17" s="322" t="s">
        <v>90</v>
      </c>
      <c r="B17" s="323">
        <v>45175</v>
      </c>
      <c r="C17" s="10"/>
      <c r="D17" s="10"/>
      <c r="E17" s="40" t="s">
        <v>257</v>
      </c>
      <c r="F17" s="10"/>
      <c r="G17" s="10"/>
      <c r="H17" s="10"/>
      <c r="I17" s="10"/>
      <c r="J17" s="143"/>
      <c r="K17" s="10"/>
      <c r="L17" s="10"/>
    </row>
    <row r="18" spans="1:12" ht="30.75">
      <c r="A18" s="322"/>
      <c r="B18" s="323"/>
      <c r="C18" s="10"/>
      <c r="D18" s="10"/>
      <c r="E18" s="134" t="s">
        <v>258</v>
      </c>
      <c r="F18" s="10"/>
      <c r="G18" s="10"/>
      <c r="H18" s="10"/>
      <c r="I18" s="10"/>
      <c r="J18" s="143"/>
      <c r="K18" s="10"/>
      <c r="L18" s="10"/>
    </row>
    <row r="19" spans="1:12" ht="76.5">
      <c r="A19" s="12" t="s">
        <v>171</v>
      </c>
      <c r="B19" s="13">
        <v>45174</v>
      </c>
      <c r="C19" s="12" t="s">
        <v>259</v>
      </c>
      <c r="D19" s="8"/>
      <c r="E19" s="8" t="s">
        <v>260</v>
      </c>
      <c r="F19" s="12"/>
      <c r="G19" s="16"/>
      <c r="H19" s="16"/>
      <c r="I19" s="14" t="s">
        <v>261</v>
      </c>
      <c r="J19" s="143"/>
      <c r="K19" s="10"/>
      <c r="L19" s="10"/>
    </row>
    <row r="20" spans="1:12" ht="30.75">
      <c r="A20" s="12" t="s">
        <v>105</v>
      </c>
      <c r="B20" s="13">
        <v>45176</v>
      </c>
      <c r="C20" s="16" t="s">
        <v>18</v>
      </c>
      <c r="D20" s="16" t="s">
        <v>238</v>
      </c>
      <c r="E20" s="139" t="s">
        <v>91</v>
      </c>
      <c r="F20" s="10"/>
      <c r="G20" s="10"/>
      <c r="H20" s="10"/>
      <c r="I20" s="8" t="s">
        <v>262</v>
      </c>
      <c r="J20" s="143"/>
      <c r="K20" s="10"/>
      <c r="L20" s="10"/>
    </row>
    <row r="21" spans="1:12" ht="30.75">
      <c r="A21" s="16" t="s">
        <v>97</v>
      </c>
      <c r="B21" s="13">
        <v>45176</v>
      </c>
      <c r="C21" s="12" t="s">
        <v>11</v>
      </c>
      <c r="D21" s="12" t="s">
        <v>12</v>
      </c>
      <c r="E21" s="12" t="s">
        <v>263</v>
      </c>
      <c r="F21" s="141" t="s">
        <v>264</v>
      </c>
      <c r="G21" s="12">
        <v>1</v>
      </c>
      <c r="H21" s="10"/>
      <c r="I21" s="132" t="s">
        <v>265</v>
      </c>
      <c r="J21" s="143"/>
      <c r="K21" s="10"/>
      <c r="L21" s="10"/>
    </row>
    <row r="22" spans="1:12" ht="76.5">
      <c r="A22" s="10" t="s">
        <v>90</v>
      </c>
      <c r="B22" s="130">
        <v>45176</v>
      </c>
      <c r="C22" s="10" t="s">
        <v>11</v>
      </c>
      <c r="D22" s="10" t="s">
        <v>12</v>
      </c>
      <c r="E22" s="40" t="s">
        <v>266</v>
      </c>
      <c r="F22" s="132" t="s">
        <v>267</v>
      </c>
      <c r="G22" s="10">
        <v>3</v>
      </c>
      <c r="H22" s="10"/>
      <c r="I22" s="10" t="s">
        <v>268</v>
      </c>
    </row>
    <row r="23" spans="1:12">
      <c r="A23" s="10" t="s">
        <v>105</v>
      </c>
      <c r="B23" s="130">
        <v>45177</v>
      </c>
      <c r="C23" s="10" t="s">
        <v>18</v>
      </c>
      <c r="D23" s="10"/>
      <c r="E23" s="139" t="s">
        <v>91</v>
      </c>
      <c r="F23" s="10"/>
      <c r="G23" s="10"/>
      <c r="H23" s="10"/>
      <c r="I23" s="10" t="s">
        <v>269</v>
      </c>
      <c r="J23" s="143"/>
      <c r="K23" s="10"/>
      <c r="L23" s="10"/>
    </row>
    <row r="24" spans="1:12" ht="45.75">
      <c r="A24" s="10" t="s">
        <v>90</v>
      </c>
      <c r="B24" s="130">
        <v>45177</v>
      </c>
      <c r="C24" s="10" t="s">
        <v>11</v>
      </c>
      <c r="D24" s="10" t="s">
        <v>12</v>
      </c>
      <c r="E24" s="40" t="s">
        <v>266</v>
      </c>
      <c r="F24" s="137" t="s">
        <v>270</v>
      </c>
      <c r="G24" s="10">
        <v>1.5</v>
      </c>
      <c r="H24" s="10"/>
      <c r="I24" s="22" t="s">
        <v>271</v>
      </c>
    </row>
    <row r="25" spans="1:12" ht="60.75">
      <c r="A25" s="16" t="s">
        <v>105</v>
      </c>
      <c r="B25" s="13">
        <v>45180</v>
      </c>
      <c r="C25" s="16" t="s">
        <v>18</v>
      </c>
      <c r="D25" s="16" t="s">
        <v>12</v>
      </c>
      <c r="E25" s="12" t="s">
        <v>263</v>
      </c>
      <c r="F25" s="10"/>
      <c r="G25" s="10"/>
      <c r="H25" s="10"/>
      <c r="I25" s="132" t="s">
        <v>272</v>
      </c>
      <c r="J25" s="143"/>
      <c r="K25" s="10"/>
      <c r="L25" s="10"/>
    </row>
    <row r="26" spans="1:12" ht="45.75">
      <c r="A26" s="16" t="s">
        <v>97</v>
      </c>
      <c r="B26" s="13">
        <v>45180</v>
      </c>
      <c r="C26" s="12" t="s">
        <v>11</v>
      </c>
      <c r="D26" s="12" t="s">
        <v>12</v>
      </c>
      <c r="E26" s="12" t="s">
        <v>263</v>
      </c>
      <c r="F26" s="8" t="s">
        <v>273</v>
      </c>
      <c r="G26" s="12">
        <v>2</v>
      </c>
      <c r="H26" s="10"/>
      <c r="I26" s="132" t="s">
        <v>274</v>
      </c>
      <c r="J26" s="143"/>
      <c r="K26" s="10"/>
      <c r="L26" s="10"/>
    </row>
    <row r="27" spans="1:12" ht="76.5">
      <c r="A27" s="12" t="s">
        <v>171</v>
      </c>
      <c r="B27" s="13">
        <v>45180</v>
      </c>
      <c r="C27" s="12" t="s">
        <v>259</v>
      </c>
      <c r="D27" s="8"/>
      <c r="E27" s="8" t="s">
        <v>260</v>
      </c>
      <c r="F27" s="8" t="s">
        <v>275</v>
      </c>
      <c r="G27" s="16"/>
      <c r="H27" s="16"/>
      <c r="I27" s="14" t="s">
        <v>276</v>
      </c>
      <c r="J27" s="143"/>
      <c r="K27" s="10"/>
      <c r="L27" s="10"/>
    </row>
    <row r="28" spans="1:12" ht="45.75">
      <c r="A28" s="10" t="s">
        <v>90</v>
      </c>
      <c r="B28" s="130">
        <v>45180</v>
      </c>
      <c r="C28" s="10" t="s">
        <v>11</v>
      </c>
      <c r="D28" s="10" t="s">
        <v>12</v>
      </c>
      <c r="E28" s="40" t="s">
        <v>266</v>
      </c>
      <c r="F28" s="137" t="s">
        <v>277</v>
      </c>
      <c r="G28" s="10">
        <v>2</v>
      </c>
      <c r="H28" s="10"/>
      <c r="I28" s="22"/>
      <c r="J28" s="143"/>
      <c r="K28" s="10"/>
      <c r="L28" s="10"/>
    </row>
    <row r="29" spans="1:12" ht="106.5">
      <c r="A29" s="12" t="s">
        <v>171</v>
      </c>
      <c r="B29" s="13">
        <v>45181</v>
      </c>
      <c r="C29" s="12" t="s">
        <v>259</v>
      </c>
      <c r="D29" s="8"/>
      <c r="E29" s="8" t="s">
        <v>260</v>
      </c>
      <c r="F29" s="8" t="s">
        <v>278</v>
      </c>
      <c r="G29" s="16"/>
      <c r="H29" s="16"/>
      <c r="I29" s="14" t="s">
        <v>279</v>
      </c>
      <c r="J29" s="143"/>
      <c r="K29" s="10"/>
      <c r="L29" s="10"/>
    </row>
    <row r="30" spans="1:12" ht="60.75">
      <c r="A30" s="16" t="s">
        <v>97</v>
      </c>
      <c r="B30" s="13">
        <v>45181</v>
      </c>
      <c r="C30" s="12" t="s">
        <v>11</v>
      </c>
      <c r="D30" s="12" t="s">
        <v>12</v>
      </c>
      <c r="E30" s="12" t="s">
        <v>263</v>
      </c>
      <c r="F30" s="12" t="s">
        <v>280</v>
      </c>
      <c r="G30" s="10"/>
      <c r="H30" s="10"/>
      <c r="I30" s="132" t="s">
        <v>281</v>
      </c>
      <c r="J30" s="143"/>
      <c r="K30" s="10"/>
      <c r="L30" s="10"/>
    </row>
    <row r="31" spans="1:12" ht="76.5">
      <c r="A31" s="16" t="s">
        <v>105</v>
      </c>
      <c r="B31" s="13">
        <v>45181</v>
      </c>
      <c r="C31" s="16" t="s">
        <v>18</v>
      </c>
      <c r="D31" s="16" t="s">
        <v>12</v>
      </c>
      <c r="E31" s="12" t="s">
        <v>282</v>
      </c>
      <c r="F31" s="10"/>
      <c r="G31" s="10"/>
      <c r="H31" s="10"/>
      <c r="I31" s="132" t="s">
        <v>283</v>
      </c>
      <c r="J31" s="143"/>
      <c r="K31" s="10"/>
      <c r="L31" s="10"/>
    </row>
    <row r="32" spans="1:12" ht="30.75">
      <c r="A32" s="10" t="s">
        <v>90</v>
      </c>
      <c r="B32" s="130">
        <v>45181</v>
      </c>
      <c r="C32" s="10" t="s">
        <v>11</v>
      </c>
      <c r="D32" s="10" t="s">
        <v>12</v>
      </c>
      <c r="E32" s="40" t="s">
        <v>266</v>
      </c>
      <c r="F32" s="137" t="s">
        <v>284</v>
      </c>
      <c r="G32" s="10">
        <v>1</v>
      </c>
      <c r="H32" s="10"/>
      <c r="I32" s="22" t="s">
        <v>285</v>
      </c>
      <c r="J32" s="143"/>
      <c r="K32" s="10"/>
      <c r="L32" s="10"/>
    </row>
    <row r="33" spans="1:12" ht="106.5">
      <c r="A33" s="16" t="s">
        <v>105</v>
      </c>
      <c r="B33" s="13">
        <v>45182</v>
      </c>
      <c r="C33" s="16" t="s">
        <v>18</v>
      </c>
      <c r="D33" s="16"/>
      <c r="E33" s="8" t="s">
        <v>286</v>
      </c>
      <c r="F33" s="16"/>
      <c r="G33" s="16"/>
      <c r="H33" s="10"/>
      <c r="I33" s="138" t="s">
        <v>287</v>
      </c>
      <c r="J33" s="143"/>
      <c r="K33" s="10"/>
      <c r="L33" s="10"/>
    </row>
    <row r="34" spans="1:12" ht="60.75">
      <c r="A34" s="16" t="s">
        <v>97</v>
      </c>
      <c r="B34" s="13">
        <v>45182</v>
      </c>
      <c r="C34" s="12" t="s">
        <v>11</v>
      </c>
      <c r="D34" s="12" t="s">
        <v>12</v>
      </c>
      <c r="E34" s="12" t="s">
        <v>288</v>
      </c>
      <c r="F34" s="12" t="s">
        <v>280</v>
      </c>
      <c r="G34" s="10"/>
      <c r="H34" s="10"/>
      <c r="I34" s="132" t="s">
        <v>289</v>
      </c>
      <c r="J34" s="143"/>
      <c r="K34" s="10"/>
      <c r="L34" s="10"/>
    </row>
    <row r="35" spans="1:12">
      <c r="A35" s="16" t="s">
        <v>90</v>
      </c>
      <c r="B35" s="13">
        <v>45182</v>
      </c>
      <c r="C35" s="12"/>
      <c r="D35" s="12"/>
      <c r="E35" s="12" t="s">
        <v>290</v>
      </c>
      <c r="F35" s="12"/>
      <c r="G35" s="10"/>
      <c r="H35" s="10"/>
      <c r="I35" s="132"/>
      <c r="J35" s="143"/>
      <c r="K35" s="10"/>
      <c r="L35" s="10"/>
    </row>
    <row r="36" spans="1:12" ht="106.5">
      <c r="A36" s="12" t="s">
        <v>171</v>
      </c>
      <c r="B36" s="13">
        <v>45182</v>
      </c>
      <c r="C36" s="12" t="s">
        <v>259</v>
      </c>
      <c r="D36" s="8"/>
      <c r="E36" s="8" t="s">
        <v>291</v>
      </c>
      <c r="F36" s="8" t="s">
        <v>278</v>
      </c>
      <c r="G36" s="16"/>
      <c r="H36" s="16"/>
      <c r="I36" s="14" t="s">
        <v>292</v>
      </c>
      <c r="J36" s="143"/>
      <c r="K36" s="10"/>
      <c r="L36" s="10"/>
    </row>
    <row r="37" spans="1:12" ht="91.5">
      <c r="A37" s="16" t="s">
        <v>105</v>
      </c>
      <c r="B37" s="13">
        <v>45183</v>
      </c>
      <c r="C37" s="16" t="s">
        <v>259</v>
      </c>
      <c r="D37" s="10"/>
      <c r="E37" s="8" t="s">
        <v>291</v>
      </c>
      <c r="F37" s="132" t="s">
        <v>293</v>
      </c>
      <c r="G37" s="10"/>
      <c r="H37" s="10"/>
      <c r="I37" s="132" t="s">
        <v>294</v>
      </c>
      <c r="J37" s="143"/>
      <c r="K37" s="10"/>
      <c r="L37" s="10"/>
    </row>
    <row r="38" spans="1:12" ht="60.75">
      <c r="A38" s="16" t="s">
        <v>97</v>
      </c>
      <c r="B38" s="13">
        <v>45183</v>
      </c>
      <c r="C38" s="12" t="s">
        <v>11</v>
      </c>
      <c r="D38" s="12" t="s">
        <v>12</v>
      </c>
      <c r="E38" s="12" t="s">
        <v>288</v>
      </c>
      <c r="F38" s="8" t="s">
        <v>295</v>
      </c>
      <c r="G38" s="10"/>
      <c r="H38" s="10"/>
      <c r="I38" s="132" t="s">
        <v>296</v>
      </c>
      <c r="J38" s="143"/>
      <c r="K38" s="10"/>
      <c r="L38" s="10"/>
    </row>
    <row r="39" spans="1:12" ht="76.5">
      <c r="A39" s="12" t="s">
        <v>171</v>
      </c>
      <c r="B39" s="13">
        <v>45183</v>
      </c>
      <c r="C39" s="12" t="s">
        <v>11</v>
      </c>
      <c r="D39" s="8" t="s">
        <v>12</v>
      </c>
      <c r="E39" s="8" t="s">
        <v>297</v>
      </c>
      <c r="F39" s="8" t="s">
        <v>298</v>
      </c>
      <c r="G39" s="16"/>
      <c r="H39" s="16"/>
      <c r="I39" s="14" t="s">
        <v>299</v>
      </c>
      <c r="J39" s="143"/>
      <c r="K39" s="10"/>
      <c r="L39" s="10"/>
    </row>
    <row r="40" spans="1:12" ht="30.75">
      <c r="A40" s="16" t="s">
        <v>90</v>
      </c>
      <c r="B40" s="13">
        <v>45183</v>
      </c>
      <c r="C40" s="12"/>
      <c r="D40" s="12"/>
      <c r="E40" s="8" t="s">
        <v>300</v>
      </c>
      <c r="F40" s="12"/>
      <c r="G40" s="10"/>
      <c r="H40" s="10"/>
      <c r="I40" s="132"/>
      <c r="J40" s="143"/>
      <c r="K40" s="10"/>
      <c r="L40" s="10"/>
    </row>
    <row r="41" spans="1:12" ht="76.5">
      <c r="A41" s="317" t="s">
        <v>105</v>
      </c>
      <c r="B41" s="316">
        <v>45184</v>
      </c>
      <c r="C41" s="317" t="s">
        <v>11</v>
      </c>
      <c r="D41" s="317" t="s">
        <v>12</v>
      </c>
      <c r="E41" s="317" t="s">
        <v>288</v>
      </c>
      <c r="F41" s="22" t="s">
        <v>301</v>
      </c>
      <c r="G41" s="16">
        <v>3</v>
      </c>
      <c r="H41" s="10"/>
      <c r="I41" s="22" t="s">
        <v>302</v>
      </c>
      <c r="J41" s="143"/>
      <c r="K41" s="10"/>
      <c r="L41" s="10"/>
    </row>
    <row r="42" spans="1:12">
      <c r="A42" s="317"/>
      <c r="B42" s="316"/>
      <c r="C42" s="317"/>
      <c r="D42" s="317"/>
      <c r="E42" s="317"/>
      <c r="F42" s="10" t="s">
        <v>303</v>
      </c>
      <c r="G42" s="10">
        <v>0.5</v>
      </c>
      <c r="H42" s="10"/>
      <c r="I42" s="10" t="s">
        <v>304</v>
      </c>
      <c r="J42" s="143"/>
      <c r="K42" s="10"/>
      <c r="L42" s="10"/>
    </row>
    <row r="43" spans="1:12" ht="76.5">
      <c r="A43" s="16" t="s">
        <v>97</v>
      </c>
      <c r="B43" s="13">
        <v>45184</v>
      </c>
      <c r="C43" s="12" t="s">
        <v>11</v>
      </c>
      <c r="D43" s="12" t="s">
        <v>12</v>
      </c>
      <c r="E43" s="12" t="s">
        <v>288</v>
      </c>
      <c r="F43" s="8" t="s">
        <v>305</v>
      </c>
      <c r="G43" s="12">
        <v>2</v>
      </c>
      <c r="H43" s="10"/>
      <c r="I43" s="142" t="s">
        <v>306</v>
      </c>
      <c r="J43" s="143"/>
      <c r="K43" s="10"/>
      <c r="L43" s="10"/>
    </row>
    <row r="44" spans="1:12" ht="76.5">
      <c r="A44" s="12" t="s">
        <v>171</v>
      </c>
      <c r="B44" s="13">
        <v>45184</v>
      </c>
      <c r="C44" s="12" t="s">
        <v>11</v>
      </c>
      <c r="D44" s="8" t="s">
        <v>12</v>
      </c>
      <c r="E44" s="8" t="s">
        <v>297</v>
      </c>
      <c r="F44" s="8" t="s">
        <v>307</v>
      </c>
      <c r="G44" s="16"/>
      <c r="H44" s="16"/>
      <c r="I44" s="22" t="s">
        <v>302</v>
      </c>
    </row>
    <row r="45" spans="1:12" ht="106.5">
      <c r="A45" s="70" t="s">
        <v>90</v>
      </c>
      <c r="B45" s="80">
        <v>45184</v>
      </c>
      <c r="C45" s="53"/>
      <c r="D45" s="53"/>
      <c r="E45" s="106" t="s">
        <v>308</v>
      </c>
      <c r="F45" s="106"/>
      <c r="G45" s="144"/>
      <c r="H45" s="144"/>
      <c r="I45" s="145"/>
    </row>
    <row r="46" spans="1:12" ht="107.25" customHeight="1">
      <c r="A46" s="12" t="s">
        <v>105</v>
      </c>
      <c r="B46" s="13">
        <v>45187</v>
      </c>
      <c r="C46" s="12" t="s">
        <v>11</v>
      </c>
      <c r="D46" s="29" t="s">
        <v>12</v>
      </c>
      <c r="E46" s="148" t="s">
        <v>288</v>
      </c>
      <c r="F46" s="147" t="s">
        <v>309</v>
      </c>
      <c r="G46" s="143"/>
      <c r="H46" s="10"/>
      <c r="I46" s="146" t="s">
        <v>310</v>
      </c>
    </row>
    <row r="47" spans="1:12" ht="60.75">
      <c r="A47" s="12" t="s">
        <v>171</v>
      </c>
      <c r="B47" s="13">
        <v>45187</v>
      </c>
      <c r="C47" s="12" t="s">
        <v>11</v>
      </c>
      <c r="D47" s="8" t="s">
        <v>12</v>
      </c>
      <c r="E47" s="8" t="s">
        <v>311</v>
      </c>
      <c r="F47" s="140" t="s">
        <v>307</v>
      </c>
      <c r="G47" s="16"/>
      <c r="H47" s="16"/>
      <c r="I47" s="22" t="s">
        <v>312</v>
      </c>
    </row>
    <row r="48" spans="1:12" ht="45.75">
      <c r="A48" s="16" t="s">
        <v>97</v>
      </c>
      <c r="B48" s="13">
        <v>45187</v>
      </c>
      <c r="C48" s="12" t="s">
        <v>11</v>
      </c>
      <c r="D48" s="12" t="s">
        <v>12</v>
      </c>
      <c r="E48" s="12" t="s">
        <v>313</v>
      </c>
      <c r="F48" s="12" t="s">
        <v>314</v>
      </c>
      <c r="G48" s="10"/>
      <c r="H48" s="10"/>
      <c r="I48" s="132" t="s">
        <v>315</v>
      </c>
    </row>
    <row r="49" spans="1:9" ht="198">
      <c r="A49" s="70" t="s">
        <v>90</v>
      </c>
      <c r="B49" s="80">
        <v>45187</v>
      </c>
      <c r="C49" s="53"/>
      <c r="D49" s="53"/>
      <c r="E49" s="106" t="s">
        <v>316</v>
      </c>
      <c r="F49" s="106" t="s">
        <v>317</v>
      </c>
      <c r="G49" s="144">
        <v>11</v>
      </c>
      <c r="H49" s="144"/>
      <c r="I49" s="145" t="s">
        <v>318</v>
      </c>
    </row>
    <row r="50" spans="1:9" ht="106.5">
      <c r="A50" s="53" t="s">
        <v>171</v>
      </c>
      <c r="B50" s="80">
        <v>45188</v>
      </c>
      <c r="C50" s="53" t="s">
        <v>18</v>
      </c>
      <c r="D50" s="106" t="s">
        <v>12</v>
      </c>
      <c r="E50" s="106" t="s">
        <v>311</v>
      </c>
      <c r="F50" s="150" t="s">
        <v>319</v>
      </c>
      <c r="G50" s="70"/>
      <c r="H50" s="70"/>
      <c r="I50" s="151" t="s">
        <v>320</v>
      </c>
    </row>
    <row r="51" spans="1:9" ht="30.75">
      <c r="A51" s="12" t="s">
        <v>105</v>
      </c>
      <c r="B51" s="13">
        <v>45188</v>
      </c>
      <c r="C51" s="12" t="s">
        <v>11</v>
      </c>
      <c r="D51" s="12" t="s">
        <v>12</v>
      </c>
      <c r="E51" s="149" t="s">
        <v>288</v>
      </c>
      <c r="F51" s="12"/>
      <c r="G51" s="12"/>
      <c r="H51" s="12"/>
      <c r="I51" s="8" t="s">
        <v>321</v>
      </c>
    </row>
    <row r="52" spans="1:9" ht="45.75">
      <c r="A52" s="152" t="s">
        <v>97</v>
      </c>
      <c r="B52" s="13">
        <v>45188</v>
      </c>
      <c r="C52" s="42" t="s">
        <v>11</v>
      </c>
      <c r="D52" s="42" t="s">
        <v>12</v>
      </c>
      <c r="E52" s="42" t="s">
        <v>313</v>
      </c>
      <c r="F52" s="42" t="s">
        <v>314</v>
      </c>
      <c r="G52" s="71"/>
      <c r="H52" s="71"/>
      <c r="I52" s="153" t="s">
        <v>315</v>
      </c>
    </row>
    <row r="53" spans="1:9" ht="45.75">
      <c r="A53" s="70" t="s">
        <v>90</v>
      </c>
      <c r="B53" s="80">
        <v>45188</v>
      </c>
      <c r="E53" s="154" t="s">
        <v>322</v>
      </c>
      <c r="F53" t="s">
        <v>323</v>
      </c>
      <c r="G53" s="157">
        <v>0.5</v>
      </c>
    </row>
    <row r="54" spans="1:9" ht="76.5">
      <c r="A54" s="113" t="s">
        <v>105</v>
      </c>
      <c r="B54" s="13">
        <v>45189</v>
      </c>
      <c r="C54" s="8" t="s">
        <v>324</v>
      </c>
      <c r="D54" s="12" t="s">
        <v>12</v>
      </c>
      <c r="E54" s="12" t="s">
        <v>288</v>
      </c>
      <c r="F54" s="8" t="s">
        <v>325</v>
      </c>
      <c r="G54" s="12"/>
      <c r="H54" s="12"/>
      <c r="I54" s="8" t="s">
        <v>326</v>
      </c>
    </row>
    <row r="55" spans="1:9" ht="106.5">
      <c r="A55" s="53" t="s">
        <v>171</v>
      </c>
      <c r="B55" s="80">
        <v>45189</v>
      </c>
      <c r="C55" s="106" t="s">
        <v>324</v>
      </c>
      <c r="D55" s="106" t="s">
        <v>12</v>
      </c>
      <c r="E55" s="106" t="s">
        <v>311</v>
      </c>
      <c r="F55" s="150" t="s">
        <v>327</v>
      </c>
      <c r="G55" s="70"/>
      <c r="H55" s="70"/>
      <c r="I55" s="151" t="s">
        <v>328</v>
      </c>
    </row>
    <row r="56" spans="1:9" ht="60.75">
      <c r="A56" s="158" t="s">
        <v>97</v>
      </c>
      <c r="B56" s="80">
        <v>45189</v>
      </c>
      <c r="C56" s="156" t="s">
        <v>11</v>
      </c>
      <c r="D56" s="156" t="s">
        <v>12</v>
      </c>
      <c r="E56" s="106" t="s">
        <v>311</v>
      </c>
      <c r="F56" s="154" t="s">
        <v>329</v>
      </c>
      <c r="I56" s="155" t="s">
        <v>330</v>
      </c>
    </row>
    <row r="57" spans="1:9" ht="91.5">
      <c r="A57" s="16" t="s">
        <v>90</v>
      </c>
      <c r="B57" s="13">
        <v>45189</v>
      </c>
      <c r="C57" s="10"/>
      <c r="D57" s="10"/>
      <c r="E57" s="134" t="s">
        <v>331</v>
      </c>
      <c r="F57" s="10" t="s">
        <v>323</v>
      </c>
      <c r="G57" s="10">
        <v>1</v>
      </c>
      <c r="H57" s="10"/>
      <c r="I57" s="10"/>
    </row>
    <row r="58" spans="1:9" ht="60.75">
      <c r="A58" s="159" t="s">
        <v>105</v>
      </c>
      <c r="B58" s="80">
        <v>45190</v>
      </c>
      <c r="C58" s="106" t="s">
        <v>324</v>
      </c>
      <c r="D58" s="53" t="s">
        <v>12</v>
      </c>
      <c r="E58" s="53" t="s">
        <v>288</v>
      </c>
      <c r="F58" s="160" t="s">
        <v>332</v>
      </c>
      <c r="G58" s="53"/>
      <c r="H58" s="53"/>
      <c r="I58" s="31" t="s">
        <v>333</v>
      </c>
    </row>
    <row r="59" spans="1:9" ht="60.75">
      <c r="A59" s="12" t="s">
        <v>171</v>
      </c>
      <c r="B59" s="13">
        <v>45190</v>
      </c>
      <c r="C59" s="8" t="s">
        <v>324</v>
      </c>
      <c r="D59" s="8" t="s">
        <v>12</v>
      </c>
      <c r="E59" s="8" t="s">
        <v>311</v>
      </c>
      <c r="F59" s="8" t="s">
        <v>334</v>
      </c>
      <c r="G59" s="16"/>
      <c r="H59" s="16"/>
      <c r="I59" s="22" t="s">
        <v>335</v>
      </c>
    </row>
    <row r="60" spans="1:9" ht="76.5">
      <c r="A60" s="16" t="s">
        <v>97</v>
      </c>
      <c r="B60" s="13">
        <v>45190</v>
      </c>
      <c r="C60" s="8" t="s">
        <v>324</v>
      </c>
      <c r="D60" s="8" t="s">
        <v>206</v>
      </c>
      <c r="E60" s="8" t="s">
        <v>311</v>
      </c>
      <c r="F60" s="134" t="s">
        <v>336</v>
      </c>
      <c r="G60" s="10"/>
      <c r="H60" s="10"/>
      <c r="I60" s="161" t="s">
        <v>337</v>
      </c>
    </row>
    <row r="61" spans="1:9" ht="60.75">
      <c r="A61" s="16" t="s">
        <v>90</v>
      </c>
      <c r="B61" s="13">
        <v>45190</v>
      </c>
      <c r="C61" s="10"/>
      <c r="D61" s="10"/>
      <c r="E61" s="134" t="s">
        <v>338</v>
      </c>
      <c r="F61" s="10" t="s">
        <v>339</v>
      </c>
      <c r="G61" s="10">
        <v>1</v>
      </c>
      <c r="H61" s="10"/>
      <c r="I61" s="132" t="s">
        <v>340</v>
      </c>
    </row>
    <row r="62" spans="1:9" ht="76.5">
      <c r="A62" s="16" t="s">
        <v>105</v>
      </c>
      <c r="B62" s="13">
        <v>45191</v>
      </c>
      <c r="C62" s="22" t="s">
        <v>11</v>
      </c>
      <c r="D62" s="16" t="s">
        <v>14</v>
      </c>
      <c r="E62" s="53" t="s">
        <v>288</v>
      </c>
      <c r="F62" s="22" t="s">
        <v>341</v>
      </c>
      <c r="G62" s="10"/>
      <c r="H62" s="10"/>
      <c r="I62" s="146" t="s">
        <v>342</v>
      </c>
    </row>
    <row r="63" spans="1:9" ht="45.75">
      <c r="A63" s="53" t="s">
        <v>171</v>
      </c>
      <c r="B63" s="80">
        <v>45191</v>
      </c>
      <c r="C63" s="106" t="s">
        <v>11</v>
      </c>
      <c r="D63" s="106" t="s">
        <v>12</v>
      </c>
      <c r="E63" s="106" t="s">
        <v>311</v>
      </c>
      <c r="F63" s="106" t="s">
        <v>343</v>
      </c>
      <c r="G63" s="70"/>
      <c r="H63" s="70"/>
      <c r="I63" s="151" t="s">
        <v>344</v>
      </c>
    </row>
    <row r="64" spans="1:9" ht="60.75">
      <c r="A64" s="16" t="s">
        <v>97</v>
      </c>
      <c r="B64" s="13">
        <v>45191</v>
      </c>
      <c r="C64" s="8" t="s">
        <v>324</v>
      </c>
      <c r="D64" s="8" t="s">
        <v>12</v>
      </c>
      <c r="E64" s="8" t="s">
        <v>345</v>
      </c>
      <c r="F64" s="8" t="s">
        <v>346</v>
      </c>
      <c r="G64" s="10"/>
      <c r="H64" s="10"/>
      <c r="I64" s="162" t="s">
        <v>347</v>
      </c>
    </row>
    <row r="65" spans="1:10" ht="60.75">
      <c r="A65" s="16" t="s">
        <v>90</v>
      </c>
      <c r="B65" s="13">
        <v>45191</v>
      </c>
      <c r="C65" s="10"/>
      <c r="D65" s="10"/>
      <c r="E65" s="134" t="s">
        <v>348</v>
      </c>
      <c r="F65" s="10"/>
      <c r="G65" s="10"/>
      <c r="H65" s="10"/>
      <c r="I65" s="132" t="s">
        <v>349</v>
      </c>
    </row>
    <row r="66" spans="1:10" ht="45.75">
      <c r="A66" s="53" t="s">
        <v>171</v>
      </c>
      <c r="B66" s="80">
        <v>45194</v>
      </c>
      <c r="C66" s="106" t="s">
        <v>324</v>
      </c>
      <c r="D66" s="106" t="s">
        <v>350</v>
      </c>
      <c r="E66" s="106" t="s">
        <v>311</v>
      </c>
      <c r="F66" s="106" t="s">
        <v>343</v>
      </c>
      <c r="G66" s="70"/>
      <c r="H66" s="70"/>
      <c r="I66" s="151" t="s">
        <v>351</v>
      </c>
    </row>
    <row r="67" spans="1:10" ht="60.75">
      <c r="A67" s="53" t="s">
        <v>105</v>
      </c>
      <c r="B67" s="80">
        <v>45194</v>
      </c>
      <c r="C67" s="106" t="s">
        <v>324</v>
      </c>
      <c r="D67" s="106" t="s">
        <v>350</v>
      </c>
      <c r="E67" s="106" t="s">
        <v>311</v>
      </c>
      <c r="F67" s="106"/>
      <c r="G67" s="70"/>
      <c r="H67" s="70"/>
      <c r="I67" s="151" t="s">
        <v>352</v>
      </c>
    </row>
    <row r="68" spans="1:10" ht="76.5">
      <c r="A68" s="16" t="s">
        <v>97</v>
      </c>
      <c r="B68" s="13">
        <v>45194</v>
      </c>
      <c r="C68" s="163" t="s">
        <v>324</v>
      </c>
      <c r="D68" s="8" t="s">
        <v>350</v>
      </c>
      <c r="E68" s="8" t="s">
        <v>311</v>
      </c>
      <c r="F68" s="10"/>
      <c r="G68" s="10"/>
      <c r="H68" s="10"/>
      <c r="I68" s="14" t="s">
        <v>353</v>
      </c>
    </row>
    <row r="69" spans="1:10" ht="167.25">
      <c r="A69" s="70" t="s">
        <v>90</v>
      </c>
      <c r="B69" s="80">
        <v>45194</v>
      </c>
      <c r="C69" s="144"/>
      <c r="D69" s="144"/>
      <c r="E69" s="165" t="s">
        <v>354</v>
      </c>
      <c r="F69" s="164" t="s">
        <v>355</v>
      </c>
      <c r="G69" s="144">
        <v>9</v>
      </c>
      <c r="H69" s="144"/>
      <c r="I69" s="167" t="s">
        <v>356</v>
      </c>
    </row>
    <row r="70" spans="1:10" ht="60.75">
      <c r="A70" s="16" t="s">
        <v>97</v>
      </c>
      <c r="B70" s="13">
        <v>45195</v>
      </c>
      <c r="C70" s="8" t="s">
        <v>357</v>
      </c>
      <c r="D70" s="8" t="s">
        <v>350</v>
      </c>
      <c r="E70" s="8" t="s">
        <v>311</v>
      </c>
      <c r="F70" s="166" t="s">
        <v>358</v>
      </c>
      <c r="G70" s="10"/>
      <c r="H70" s="10"/>
      <c r="I70" s="162" t="s">
        <v>359</v>
      </c>
      <c r="J70" s="10"/>
    </row>
    <row r="71" spans="1:10" ht="30.75">
      <c r="A71" s="10" t="s">
        <v>90</v>
      </c>
      <c r="B71" s="130">
        <v>45195</v>
      </c>
      <c r="C71" s="10"/>
      <c r="D71" s="10"/>
      <c r="E71" s="134" t="s">
        <v>360</v>
      </c>
      <c r="F71" s="10"/>
      <c r="G71" s="10">
        <v>10</v>
      </c>
      <c r="H71" s="10"/>
      <c r="I71" s="10"/>
      <c r="J71" s="10"/>
    </row>
    <row r="72" spans="1:10" ht="45.75">
      <c r="A72" s="12" t="s">
        <v>171</v>
      </c>
      <c r="B72" s="13">
        <v>45195</v>
      </c>
      <c r="C72" s="8" t="s">
        <v>324</v>
      </c>
      <c r="D72" s="8" t="s">
        <v>350</v>
      </c>
      <c r="E72" s="8" t="s">
        <v>361</v>
      </c>
      <c r="F72" s="8" t="s">
        <v>343</v>
      </c>
      <c r="G72" s="16"/>
      <c r="H72" s="16"/>
      <c r="I72" s="22" t="s">
        <v>351</v>
      </c>
      <c r="J72" s="10"/>
    </row>
    <row r="73" spans="1:10" ht="76.5">
      <c r="A73" s="16" t="s">
        <v>97</v>
      </c>
      <c r="B73" s="13">
        <v>45196</v>
      </c>
      <c r="C73" s="8" t="s">
        <v>11</v>
      </c>
      <c r="D73" s="8" t="s">
        <v>15</v>
      </c>
      <c r="E73" s="8" t="s">
        <v>362</v>
      </c>
      <c r="F73" s="168" t="s">
        <v>363</v>
      </c>
      <c r="G73" s="10"/>
      <c r="H73" s="10"/>
      <c r="I73" s="162" t="s">
        <v>364</v>
      </c>
    </row>
    <row r="74" spans="1:10" ht="45.75">
      <c r="A74" s="12" t="s">
        <v>171</v>
      </c>
      <c r="B74" s="13">
        <v>45196</v>
      </c>
      <c r="C74" s="8" t="s">
        <v>324</v>
      </c>
      <c r="D74" s="8" t="s">
        <v>350</v>
      </c>
      <c r="E74" s="8" t="s">
        <v>361</v>
      </c>
      <c r="F74" s="8" t="s">
        <v>343</v>
      </c>
      <c r="G74" s="16"/>
      <c r="H74" s="16"/>
      <c r="I74" s="22" t="s">
        <v>365</v>
      </c>
    </row>
    <row r="75" spans="1:10" ht="30.75">
      <c r="A75" s="10" t="s">
        <v>90</v>
      </c>
      <c r="B75" s="130">
        <v>45196</v>
      </c>
      <c r="C75" s="8" t="s">
        <v>11</v>
      </c>
      <c r="D75" s="10" t="s">
        <v>12</v>
      </c>
      <c r="E75" s="134" t="s">
        <v>366</v>
      </c>
      <c r="F75" s="10"/>
      <c r="G75" s="10" t="s">
        <v>367</v>
      </c>
      <c r="H75" s="10"/>
      <c r="I75" s="132" t="s">
        <v>368</v>
      </c>
      <c r="J75" s="10"/>
    </row>
    <row r="76" spans="1:10" ht="76.5">
      <c r="A76" s="16" t="s">
        <v>97</v>
      </c>
      <c r="B76" s="13">
        <v>45197</v>
      </c>
      <c r="C76" s="8" t="s">
        <v>18</v>
      </c>
      <c r="D76" s="8" t="s">
        <v>15</v>
      </c>
      <c r="E76" s="8" t="s">
        <v>362</v>
      </c>
      <c r="F76" s="168" t="s">
        <v>369</v>
      </c>
      <c r="G76" s="10"/>
      <c r="H76" s="10"/>
      <c r="I76" s="162" t="s">
        <v>370</v>
      </c>
    </row>
    <row r="77" spans="1:10" ht="30.75">
      <c r="A77" s="10" t="s">
        <v>90</v>
      </c>
      <c r="B77" s="130">
        <v>45197</v>
      </c>
      <c r="C77" s="8" t="s">
        <v>11</v>
      </c>
      <c r="D77" s="10" t="s">
        <v>350</v>
      </c>
      <c r="E77" s="134" t="s">
        <v>371</v>
      </c>
      <c r="F77" s="10"/>
      <c r="G77" s="10" t="s">
        <v>367</v>
      </c>
      <c r="H77" s="10"/>
      <c r="I77" s="132" t="s">
        <v>368</v>
      </c>
    </row>
    <row r="78" spans="1:10" ht="30.75">
      <c r="A78" s="12" t="s">
        <v>171</v>
      </c>
      <c r="B78" s="13">
        <v>45197</v>
      </c>
      <c r="C78" s="8" t="s">
        <v>11</v>
      </c>
      <c r="D78" s="8" t="s">
        <v>15</v>
      </c>
      <c r="E78" s="8" t="s">
        <v>372</v>
      </c>
      <c r="F78" s="8" t="s">
        <v>373</v>
      </c>
      <c r="G78" s="16"/>
      <c r="H78" s="16"/>
      <c r="I78" s="22" t="s">
        <v>374</v>
      </c>
    </row>
    <row r="79" spans="1:10" ht="45.75">
      <c r="A79" s="12" t="s">
        <v>171</v>
      </c>
      <c r="B79" s="13">
        <v>45198</v>
      </c>
      <c r="C79" s="8" t="s">
        <v>18</v>
      </c>
      <c r="D79" s="8" t="s">
        <v>350</v>
      </c>
      <c r="E79" s="8" t="s">
        <v>361</v>
      </c>
      <c r="F79" s="8"/>
      <c r="G79" s="16"/>
      <c r="H79" s="16"/>
      <c r="I79" s="22" t="s">
        <v>375</v>
      </c>
    </row>
    <row r="80" spans="1:10" ht="91.5">
      <c r="A80" s="16" t="s">
        <v>97</v>
      </c>
      <c r="B80" s="13">
        <v>45198</v>
      </c>
      <c r="C80" s="8" t="s">
        <v>18</v>
      </c>
      <c r="D80" s="8" t="s">
        <v>15</v>
      </c>
      <c r="E80" s="8" t="s">
        <v>362</v>
      </c>
      <c r="F80" s="168" t="s">
        <v>369</v>
      </c>
      <c r="G80" s="10"/>
      <c r="H80" s="10"/>
      <c r="I80" s="162" t="s">
        <v>376</v>
      </c>
    </row>
    <row r="81" spans="1:9" ht="30.75">
      <c r="A81" s="10" t="s">
        <v>90</v>
      </c>
      <c r="B81" s="130">
        <v>45198</v>
      </c>
      <c r="C81" s="8" t="s">
        <v>11</v>
      </c>
      <c r="D81" s="10" t="s">
        <v>350</v>
      </c>
      <c r="E81" s="134" t="s">
        <v>377</v>
      </c>
      <c r="F81" s="10"/>
      <c r="G81" s="10" t="s">
        <v>367</v>
      </c>
      <c r="H81" s="10"/>
      <c r="I81" s="132" t="s">
        <v>378</v>
      </c>
    </row>
  </sheetData>
  <mergeCells count="11">
    <mergeCell ref="A41:A42"/>
    <mergeCell ref="B41:B42"/>
    <mergeCell ref="C41:C42"/>
    <mergeCell ref="D41:D42"/>
    <mergeCell ref="E41:E42"/>
    <mergeCell ref="A2:A3"/>
    <mergeCell ref="B2:B3"/>
    <mergeCell ref="A7:A8"/>
    <mergeCell ref="B7:B8"/>
    <mergeCell ref="A17:A18"/>
    <mergeCell ref="B17:B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C02-3F74-4B08-9F20-EE33595BC0A4}">
  <dimension ref="A1:I96"/>
  <sheetViews>
    <sheetView workbookViewId="0">
      <pane ySplit="1" topLeftCell="C16" activePane="bottomLeft" state="frozen"/>
      <selection pane="bottomLeft" activeCell="I17" sqref="I17"/>
    </sheetView>
  </sheetViews>
  <sheetFormatPr defaultRowHeight="15"/>
  <cols>
    <col min="2" max="2" width="11.42578125" style="129" bestFit="1" customWidth="1"/>
    <col min="3" max="3" width="51.85546875" bestFit="1" customWidth="1"/>
    <col min="4" max="4" width="18.5703125" customWidth="1"/>
    <col min="5" max="5" width="34.140625" bestFit="1" customWidth="1"/>
    <col min="6" max="6" width="56.28515625" bestFit="1" customWidth="1"/>
    <col min="7" max="7" width="35.140625" customWidth="1"/>
    <col min="8" max="8" width="23.7109375" customWidth="1"/>
    <col min="9" max="9" width="49.42578125" customWidth="1"/>
  </cols>
  <sheetData>
    <row r="1" spans="1:9">
      <c r="A1" s="169" t="s">
        <v>84</v>
      </c>
      <c r="B1" s="169" t="s">
        <v>85</v>
      </c>
      <c r="C1" s="169" t="s">
        <v>86</v>
      </c>
      <c r="D1" s="169" t="s">
        <v>1</v>
      </c>
      <c r="E1" s="169" t="s">
        <v>2</v>
      </c>
      <c r="F1" s="169" t="s">
        <v>87</v>
      </c>
      <c r="G1" s="169" t="s">
        <v>88</v>
      </c>
      <c r="H1" s="169" t="s">
        <v>89</v>
      </c>
      <c r="I1" s="170" t="s">
        <v>10</v>
      </c>
    </row>
    <row r="2" spans="1:9" ht="52.5" customHeight="1">
      <c r="A2" s="12" t="s">
        <v>171</v>
      </c>
      <c r="B2" s="13">
        <v>45202</v>
      </c>
      <c r="C2" s="8" t="s">
        <v>11</v>
      </c>
      <c r="D2" s="8" t="s">
        <v>12</v>
      </c>
      <c r="E2" s="8" t="s">
        <v>361</v>
      </c>
      <c r="F2" s="8" t="s">
        <v>379</v>
      </c>
      <c r="G2" s="16"/>
      <c r="H2" s="16"/>
      <c r="I2" s="22" t="s">
        <v>380</v>
      </c>
    </row>
    <row r="3" spans="1:9" ht="60.75">
      <c r="A3" s="12" t="s">
        <v>381</v>
      </c>
      <c r="B3" s="13">
        <v>45202</v>
      </c>
      <c r="C3" s="12" t="s">
        <v>11</v>
      </c>
      <c r="D3" s="12" t="s">
        <v>12</v>
      </c>
      <c r="E3" s="16" t="s">
        <v>263</v>
      </c>
      <c r="F3" s="12" t="s">
        <v>382</v>
      </c>
      <c r="G3" s="10"/>
      <c r="H3" s="10"/>
      <c r="I3" s="132" t="s">
        <v>383</v>
      </c>
    </row>
    <row r="4" spans="1:9" ht="30.75">
      <c r="A4" s="12" t="s">
        <v>171</v>
      </c>
      <c r="B4" s="13">
        <v>45203</v>
      </c>
      <c r="C4" s="8" t="s">
        <v>11</v>
      </c>
      <c r="D4" s="8" t="s">
        <v>12</v>
      </c>
      <c r="E4" s="8" t="s">
        <v>361</v>
      </c>
      <c r="F4" s="8" t="s">
        <v>384</v>
      </c>
      <c r="G4" s="16"/>
      <c r="H4" s="16"/>
      <c r="I4" s="22" t="s">
        <v>385</v>
      </c>
    </row>
    <row r="5" spans="1:9">
      <c r="A5" s="71" t="s">
        <v>90</v>
      </c>
      <c r="B5" s="183">
        <v>45202</v>
      </c>
      <c r="C5" s="8" t="s">
        <v>18</v>
      </c>
      <c r="D5" s="71" t="s">
        <v>12</v>
      </c>
      <c r="E5" s="71" t="s">
        <v>386</v>
      </c>
      <c r="F5" s="71" t="s">
        <v>387</v>
      </c>
      <c r="G5" s="71"/>
      <c r="H5" s="71"/>
      <c r="I5" s="71" t="s">
        <v>388</v>
      </c>
    </row>
    <row r="6" spans="1:9" s="15" customFormat="1" ht="91.5">
      <c r="A6" s="152" t="s">
        <v>90</v>
      </c>
      <c r="B6" s="182">
        <v>45203</v>
      </c>
      <c r="C6" s="8" t="s">
        <v>18</v>
      </c>
      <c r="D6" s="152" t="s">
        <v>12</v>
      </c>
      <c r="E6" s="152" t="s">
        <v>389</v>
      </c>
      <c r="F6" s="152" t="s">
        <v>387</v>
      </c>
      <c r="G6" s="152"/>
      <c r="H6" s="152"/>
      <c r="I6" s="177" t="s">
        <v>390</v>
      </c>
    </row>
    <row r="7" spans="1:9" ht="45.75">
      <c r="A7" s="12" t="s">
        <v>381</v>
      </c>
      <c r="B7" s="13">
        <v>45203</v>
      </c>
      <c r="C7" s="12" t="s">
        <v>11</v>
      </c>
      <c r="D7" s="12" t="s">
        <v>12</v>
      </c>
      <c r="E7" s="12" t="s">
        <v>391</v>
      </c>
      <c r="F7" s="12" t="s">
        <v>382</v>
      </c>
      <c r="G7" s="10"/>
      <c r="H7" s="10"/>
      <c r="I7" s="132" t="s">
        <v>392</v>
      </c>
    </row>
    <row r="8" spans="1:9" ht="121.5">
      <c r="A8" s="12" t="s">
        <v>171</v>
      </c>
      <c r="B8" s="13">
        <v>45204</v>
      </c>
      <c r="C8" s="8" t="s">
        <v>11</v>
      </c>
      <c r="D8" s="8" t="s">
        <v>12</v>
      </c>
      <c r="E8" s="8" t="s">
        <v>361</v>
      </c>
      <c r="F8" s="8" t="s">
        <v>393</v>
      </c>
      <c r="G8" s="16"/>
      <c r="H8" s="16"/>
      <c r="I8" s="22" t="s">
        <v>394</v>
      </c>
    </row>
    <row r="9" spans="1:9" ht="60.75">
      <c r="A9" s="12" t="s">
        <v>381</v>
      </c>
      <c r="B9" s="13">
        <v>45204</v>
      </c>
      <c r="C9" s="8" t="s">
        <v>11</v>
      </c>
      <c r="D9" s="8" t="s">
        <v>12</v>
      </c>
      <c r="E9" s="12" t="s">
        <v>395</v>
      </c>
      <c r="F9" s="12" t="s">
        <v>382</v>
      </c>
      <c r="G9" s="10"/>
      <c r="H9" s="10"/>
      <c r="I9" s="132" t="s">
        <v>396</v>
      </c>
    </row>
    <row r="10" spans="1:9" s="15" customFormat="1" ht="91.5">
      <c r="A10" s="152" t="s">
        <v>90</v>
      </c>
      <c r="B10" s="182">
        <v>45204</v>
      </c>
      <c r="C10" s="8" t="s">
        <v>18</v>
      </c>
      <c r="D10" s="152" t="s">
        <v>12</v>
      </c>
      <c r="E10" s="152" t="s">
        <v>397</v>
      </c>
      <c r="F10" s="152" t="s">
        <v>387</v>
      </c>
      <c r="G10" s="152"/>
      <c r="H10" s="152"/>
      <c r="I10" s="177" t="s">
        <v>398</v>
      </c>
    </row>
    <row r="11" spans="1:9" ht="121.5">
      <c r="A11" s="12" t="s">
        <v>171</v>
      </c>
      <c r="B11" s="13">
        <v>45205</v>
      </c>
      <c r="C11" s="8" t="s">
        <v>11</v>
      </c>
      <c r="D11" s="8" t="s">
        <v>12</v>
      </c>
      <c r="E11" s="8" t="s">
        <v>361</v>
      </c>
      <c r="F11" s="8" t="s">
        <v>399</v>
      </c>
      <c r="G11" s="16"/>
      <c r="H11" s="16"/>
      <c r="I11" s="22" t="s">
        <v>400</v>
      </c>
    </row>
    <row r="12" spans="1:9" ht="60.75">
      <c r="A12" s="12" t="s">
        <v>381</v>
      </c>
      <c r="B12" s="13">
        <v>45205</v>
      </c>
      <c r="C12" s="8" t="s">
        <v>11</v>
      </c>
      <c r="D12" s="8" t="s">
        <v>12</v>
      </c>
      <c r="E12" s="8" t="s">
        <v>401</v>
      </c>
      <c r="F12" s="12" t="s">
        <v>382</v>
      </c>
      <c r="G12" s="10"/>
      <c r="H12" s="10"/>
      <c r="I12" s="14" t="s">
        <v>402</v>
      </c>
    </row>
    <row r="13" spans="1:9" s="15" customFormat="1" ht="45.75">
      <c r="A13" s="42" t="s">
        <v>90</v>
      </c>
      <c r="B13" s="182">
        <v>45205</v>
      </c>
      <c r="C13" s="8" t="s">
        <v>18</v>
      </c>
      <c r="D13" s="152" t="s">
        <v>12</v>
      </c>
      <c r="E13" s="152" t="s">
        <v>403</v>
      </c>
      <c r="F13" s="152" t="s">
        <v>387</v>
      </c>
      <c r="G13" s="152"/>
      <c r="H13" s="152"/>
      <c r="I13" s="177" t="s">
        <v>404</v>
      </c>
    </row>
    <row r="14" spans="1:9" ht="121.5">
      <c r="A14" s="12" t="s">
        <v>171</v>
      </c>
      <c r="B14" s="13">
        <v>45208</v>
      </c>
      <c r="C14" s="8" t="s">
        <v>11</v>
      </c>
      <c r="D14" s="8" t="s">
        <v>12</v>
      </c>
      <c r="E14" s="8" t="s">
        <v>361</v>
      </c>
      <c r="F14" s="8" t="s">
        <v>405</v>
      </c>
      <c r="G14" s="16"/>
      <c r="H14" s="16"/>
      <c r="I14" s="22" t="s">
        <v>406</v>
      </c>
    </row>
    <row r="15" spans="1:9" ht="45.75">
      <c r="A15" s="12" t="s">
        <v>381</v>
      </c>
      <c r="B15" s="13">
        <v>45208</v>
      </c>
      <c r="C15" s="8" t="s">
        <v>11</v>
      </c>
      <c r="D15" s="12" t="s">
        <v>15</v>
      </c>
      <c r="E15" s="12" t="s">
        <v>407</v>
      </c>
      <c r="F15" s="12" t="s">
        <v>408</v>
      </c>
      <c r="G15" s="10"/>
      <c r="H15" s="10"/>
      <c r="I15" s="132" t="s">
        <v>409</v>
      </c>
    </row>
    <row r="16" spans="1:9" s="1" customFormat="1" ht="76.5">
      <c r="A16" s="140" t="s">
        <v>90</v>
      </c>
      <c r="B16" s="184">
        <v>45208</v>
      </c>
      <c r="C16" s="8" t="s">
        <v>410</v>
      </c>
      <c r="D16" s="178" t="s">
        <v>12</v>
      </c>
      <c r="E16" s="178" t="s">
        <v>411</v>
      </c>
      <c r="F16" s="178" t="s">
        <v>412</v>
      </c>
      <c r="G16" s="178" t="s">
        <v>413</v>
      </c>
      <c r="H16" s="178"/>
      <c r="I16" s="177" t="s">
        <v>414</v>
      </c>
    </row>
    <row r="17" spans="1:9">
      <c r="A17" s="12" t="s">
        <v>105</v>
      </c>
      <c r="B17" s="13">
        <v>45209</v>
      </c>
      <c r="C17" s="8" t="s">
        <v>410</v>
      </c>
      <c r="D17" s="12" t="s">
        <v>12</v>
      </c>
      <c r="E17" s="12" t="s">
        <v>415</v>
      </c>
      <c r="F17" s="179" t="s">
        <v>416</v>
      </c>
      <c r="G17" s="12">
        <v>0.5</v>
      </c>
      <c r="H17" s="12">
        <v>30</v>
      </c>
      <c r="I17" s="10" t="s">
        <v>19</v>
      </c>
    </row>
    <row r="18" spans="1:9" ht="76.5">
      <c r="A18" s="12" t="s">
        <v>171</v>
      </c>
      <c r="B18" s="13">
        <v>45209</v>
      </c>
      <c r="C18" s="8" t="s">
        <v>22</v>
      </c>
      <c r="D18" s="8" t="s">
        <v>12</v>
      </c>
      <c r="E18" s="8" t="s">
        <v>361</v>
      </c>
      <c r="F18" s="8" t="s">
        <v>417</v>
      </c>
      <c r="G18" s="16"/>
      <c r="H18" s="16"/>
      <c r="I18" s="22" t="s">
        <v>418</v>
      </c>
    </row>
    <row r="19" spans="1:9" ht="30.75">
      <c r="A19" s="12" t="s">
        <v>381</v>
      </c>
      <c r="B19" s="13">
        <v>45209</v>
      </c>
      <c r="C19" s="8" t="s">
        <v>419</v>
      </c>
      <c r="D19" s="12" t="s">
        <v>15</v>
      </c>
      <c r="E19" s="8" t="s">
        <v>345</v>
      </c>
      <c r="F19" s="12" t="s">
        <v>408</v>
      </c>
      <c r="G19" s="10"/>
      <c r="H19" s="10"/>
      <c r="I19" s="132" t="s">
        <v>420</v>
      </c>
    </row>
    <row r="20" spans="1:9" s="15" customFormat="1" ht="30.75">
      <c r="A20" s="42" t="s">
        <v>90</v>
      </c>
      <c r="B20" s="182">
        <v>45209</v>
      </c>
      <c r="C20" s="8" t="s">
        <v>421</v>
      </c>
      <c r="D20" s="152" t="s">
        <v>12</v>
      </c>
      <c r="E20" s="152" t="s">
        <v>411</v>
      </c>
      <c r="F20" s="152" t="s">
        <v>422</v>
      </c>
      <c r="G20" s="152" t="s">
        <v>423</v>
      </c>
      <c r="H20" s="152"/>
      <c r="I20" s="180" t="s">
        <v>414</v>
      </c>
    </row>
    <row r="21" spans="1:9" ht="60.75">
      <c r="A21" s="12" t="s">
        <v>381</v>
      </c>
      <c r="B21" s="13">
        <v>45210</v>
      </c>
      <c r="C21" s="12" t="s">
        <v>18</v>
      </c>
      <c r="D21" s="12" t="s">
        <v>15</v>
      </c>
      <c r="E21" s="12" t="s">
        <v>407</v>
      </c>
      <c r="F21" s="12" t="s">
        <v>424</v>
      </c>
      <c r="G21" s="10"/>
      <c r="H21" s="10"/>
      <c r="I21" s="132" t="s">
        <v>425</v>
      </c>
    </row>
    <row r="22" spans="1:9">
      <c r="A22" s="12" t="s">
        <v>105</v>
      </c>
      <c r="B22" s="13">
        <v>45210</v>
      </c>
      <c r="C22" s="8" t="s">
        <v>410</v>
      </c>
      <c r="D22" s="12" t="s">
        <v>12</v>
      </c>
      <c r="E22" s="12" t="s">
        <v>415</v>
      </c>
      <c r="F22" s="179" t="s">
        <v>416</v>
      </c>
      <c r="G22" s="10">
        <v>0.4</v>
      </c>
      <c r="H22" s="10">
        <v>24</v>
      </c>
      <c r="I22" s="10" t="s">
        <v>19</v>
      </c>
    </row>
    <row r="23" spans="1:9" ht="76.5">
      <c r="A23" s="12" t="s">
        <v>171</v>
      </c>
      <c r="B23" s="13">
        <v>45210</v>
      </c>
      <c r="C23" s="8" t="s">
        <v>22</v>
      </c>
      <c r="D23" s="8" t="s">
        <v>12</v>
      </c>
      <c r="E23" s="8" t="s">
        <v>361</v>
      </c>
      <c r="F23" s="8" t="s">
        <v>426</v>
      </c>
      <c r="G23" s="16"/>
      <c r="H23" s="16"/>
      <c r="I23" s="22" t="s">
        <v>427</v>
      </c>
    </row>
    <row r="24" spans="1:9" s="1" customFormat="1" ht="45.75">
      <c r="A24" s="140" t="s">
        <v>90</v>
      </c>
      <c r="B24" s="184">
        <v>45210</v>
      </c>
      <c r="C24" s="8" t="s">
        <v>428</v>
      </c>
      <c r="D24" s="178" t="s">
        <v>12</v>
      </c>
      <c r="E24" s="178" t="s">
        <v>411</v>
      </c>
      <c r="F24" s="178" t="s">
        <v>429</v>
      </c>
      <c r="G24" s="178"/>
      <c r="H24" s="178"/>
      <c r="I24" s="177" t="s">
        <v>430</v>
      </c>
    </row>
    <row r="25" spans="1:9" ht="76.5">
      <c r="A25" s="12" t="s">
        <v>171</v>
      </c>
      <c r="B25" s="13">
        <v>45211</v>
      </c>
      <c r="C25" s="8" t="s">
        <v>22</v>
      </c>
      <c r="D25" s="8" t="s">
        <v>12</v>
      </c>
      <c r="E25" s="8" t="s">
        <v>361</v>
      </c>
      <c r="F25" s="8" t="s">
        <v>431</v>
      </c>
      <c r="G25" s="16"/>
      <c r="H25" s="16"/>
      <c r="I25" s="22" t="s">
        <v>427</v>
      </c>
    </row>
    <row r="26" spans="1:9" ht="45.75">
      <c r="A26" s="53" t="s">
        <v>381</v>
      </c>
      <c r="B26" s="80">
        <v>45211</v>
      </c>
      <c r="C26" s="53" t="s">
        <v>419</v>
      </c>
      <c r="D26" s="106" t="s">
        <v>432</v>
      </c>
      <c r="E26" s="53" t="s">
        <v>407</v>
      </c>
      <c r="F26" s="53" t="s">
        <v>424</v>
      </c>
      <c r="G26" s="144"/>
      <c r="H26" s="144"/>
      <c r="I26" s="145" t="s">
        <v>433</v>
      </c>
    </row>
    <row r="27" spans="1:9">
      <c r="A27" s="317" t="s">
        <v>105</v>
      </c>
      <c r="B27" s="316">
        <v>45211</v>
      </c>
      <c r="C27" s="320" t="s">
        <v>410</v>
      </c>
      <c r="D27" s="317" t="s">
        <v>12</v>
      </c>
      <c r="E27" s="317" t="s">
        <v>415</v>
      </c>
      <c r="F27" s="139" t="s">
        <v>416</v>
      </c>
      <c r="G27" s="10">
        <v>0.1</v>
      </c>
      <c r="H27" s="10">
        <v>6</v>
      </c>
      <c r="I27" s="10" t="s">
        <v>434</v>
      </c>
    </row>
    <row r="28" spans="1:9">
      <c r="A28" s="317"/>
      <c r="B28" s="316"/>
      <c r="C28" s="320"/>
      <c r="D28" s="317"/>
      <c r="E28" s="317"/>
      <c r="F28" s="139" t="s">
        <v>435</v>
      </c>
      <c r="G28" s="10">
        <v>0.6</v>
      </c>
      <c r="H28" s="10">
        <v>36</v>
      </c>
      <c r="I28" s="10" t="s">
        <v>19</v>
      </c>
    </row>
    <row r="29" spans="1:9" ht="45.75">
      <c r="A29" s="53" t="s">
        <v>90</v>
      </c>
      <c r="B29" s="80">
        <v>45211</v>
      </c>
      <c r="C29" s="106" t="s">
        <v>436</v>
      </c>
      <c r="D29" s="53" t="s">
        <v>12</v>
      </c>
      <c r="E29" s="53" t="s">
        <v>411</v>
      </c>
      <c r="F29" s="152" t="s">
        <v>387</v>
      </c>
      <c r="G29" s="71" t="s">
        <v>38</v>
      </c>
      <c r="H29" s="71"/>
      <c r="I29" s="132" t="s">
        <v>437</v>
      </c>
    </row>
    <row r="30" spans="1:9">
      <c r="A30" s="296" t="s">
        <v>105</v>
      </c>
      <c r="B30" s="302">
        <v>45212</v>
      </c>
      <c r="C30" s="324" t="s">
        <v>410</v>
      </c>
      <c r="D30" s="296" t="s">
        <v>12</v>
      </c>
      <c r="E30" s="296" t="s">
        <v>415</v>
      </c>
      <c r="F30" s="139" t="s">
        <v>435</v>
      </c>
      <c r="G30" s="71">
        <v>0.4</v>
      </c>
      <c r="H30" s="71">
        <v>24</v>
      </c>
      <c r="I30" s="10" t="s">
        <v>438</v>
      </c>
    </row>
    <row r="31" spans="1:9">
      <c r="A31" s="304"/>
      <c r="B31" s="305"/>
      <c r="C31" s="325"/>
      <c r="D31" s="304"/>
      <c r="E31" s="304"/>
      <c r="F31" s="10" t="s">
        <v>439</v>
      </c>
      <c r="G31" s="10"/>
      <c r="H31" s="10"/>
      <c r="I31" s="10"/>
    </row>
    <row r="32" spans="1:9" ht="45.75">
      <c r="A32" s="53" t="s">
        <v>381</v>
      </c>
      <c r="B32" s="13">
        <v>45212</v>
      </c>
      <c r="C32" s="14" t="s">
        <v>419</v>
      </c>
      <c r="D32" s="12" t="s">
        <v>15</v>
      </c>
      <c r="E32" s="12" t="s">
        <v>411</v>
      </c>
      <c r="F32" s="181" t="s">
        <v>440</v>
      </c>
      <c r="G32" s="10"/>
      <c r="H32" s="10"/>
      <c r="I32" s="132" t="s">
        <v>441</v>
      </c>
    </row>
    <row r="33" spans="1:9" ht="30.75">
      <c r="A33" s="144" t="s">
        <v>90</v>
      </c>
      <c r="B33" s="80">
        <v>45212</v>
      </c>
      <c r="C33" s="187" t="s">
        <v>442</v>
      </c>
      <c r="D33" s="186" t="s">
        <v>443</v>
      </c>
      <c r="E33" s="53" t="s">
        <v>411</v>
      </c>
      <c r="F33" s="144" t="s">
        <v>444</v>
      </c>
      <c r="G33" s="144"/>
      <c r="H33" s="144"/>
      <c r="I33" s="144" t="s">
        <v>445</v>
      </c>
    </row>
    <row r="34" spans="1:9" ht="76.5">
      <c r="A34" s="12" t="s">
        <v>171</v>
      </c>
      <c r="B34" s="13">
        <v>45212</v>
      </c>
      <c r="C34" s="14" t="s">
        <v>22</v>
      </c>
      <c r="D34" s="8" t="s">
        <v>12</v>
      </c>
      <c r="E34" s="8" t="s">
        <v>361</v>
      </c>
      <c r="F34" s="8" t="s">
        <v>446</v>
      </c>
      <c r="G34" s="16"/>
      <c r="H34" s="16"/>
      <c r="I34" s="22" t="s">
        <v>427</v>
      </c>
    </row>
    <row r="35" spans="1:9" ht="45.75">
      <c r="A35" s="53" t="s">
        <v>381</v>
      </c>
      <c r="B35" s="80">
        <v>45215</v>
      </c>
      <c r="C35" s="31" t="s">
        <v>18</v>
      </c>
      <c r="D35" s="53" t="s">
        <v>15</v>
      </c>
      <c r="E35" s="53" t="s">
        <v>263</v>
      </c>
      <c r="F35" s="53" t="s">
        <v>447</v>
      </c>
      <c r="G35" s="144"/>
      <c r="H35" s="144"/>
      <c r="I35" s="145" t="s">
        <v>448</v>
      </c>
    </row>
    <row r="36" spans="1:9" ht="76.5">
      <c r="A36" s="12" t="s">
        <v>171</v>
      </c>
      <c r="B36" s="13">
        <v>45215</v>
      </c>
      <c r="C36" s="14" t="s">
        <v>22</v>
      </c>
      <c r="D36" s="8" t="s">
        <v>12</v>
      </c>
      <c r="E36" s="8" t="s">
        <v>361</v>
      </c>
      <c r="F36" s="8" t="s">
        <v>449</v>
      </c>
      <c r="G36" s="16"/>
      <c r="H36" s="16"/>
      <c r="I36" s="22" t="s">
        <v>427</v>
      </c>
    </row>
    <row r="37" spans="1:9" s="15" customFormat="1" ht="45.75">
      <c r="A37" s="16" t="s">
        <v>90</v>
      </c>
      <c r="B37" s="13">
        <v>45215</v>
      </c>
      <c r="C37" s="14" t="s">
        <v>436</v>
      </c>
      <c r="D37" s="12" t="s">
        <v>15</v>
      </c>
      <c r="E37" s="16" t="s">
        <v>450</v>
      </c>
      <c r="F37" s="53" t="s">
        <v>447</v>
      </c>
      <c r="G37" s="16"/>
      <c r="H37" s="16"/>
      <c r="I37" s="22" t="s">
        <v>451</v>
      </c>
    </row>
    <row r="38" spans="1:9" ht="30.75">
      <c r="A38" s="12" t="s">
        <v>381</v>
      </c>
      <c r="B38" s="13">
        <v>45216</v>
      </c>
      <c r="C38" s="14" t="s">
        <v>18</v>
      </c>
      <c r="D38" s="12" t="s">
        <v>15</v>
      </c>
      <c r="E38" s="8" t="s">
        <v>452</v>
      </c>
      <c r="F38" s="53" t="s">
        <v>447</v>
      </c>
      <c r="G38" s="10"/>
      <c r="H38" s="10"/>
      <c r="I38" s="132" t="s">
        <v>453</v>
      </c>
    </row>
    <row r="39" spans="1:9" ht="60.75">
      <c r="A39" s="12" t="s">
        <v>171</v>
      </c>
      <c r="B39" s="13">
        <v>45216</v>
      </c>
      <c r="C39" s="14" t="s">
        <v>22</v>
      </c>
      <c r="D39" s="8" t="s">
        <v>12</v>
      </c>
      <c r="E39" s="8" t="s">
        <v>361</v>
      </c>
      <c r="F39" s="8" t="s">
        <v>454</v>
      </c>
      <c r="G39" s="16"/>
      <c r="H39" s="16"/>
      <c r="I39" s="22" t="s">
        <v>455</v>
      </c>
    </row>
    <row r="40" spans="1:9" s="15" customFormat="1" ht="60.75">
      <c r="A40" s="16" t="s">
        <v>90</v>
      </c>
      <c r="B40" s="13">
        <v>45216</v>
      </c>
      <c r="C40" s="14" t="s">
        <v>456</v>
      </c>
      <c r="D40" s="12"/>
      <c r="E40" s="22" t="s">
        <v>457</v>
      </c>
      <c r="F40" s="16"/>
      <c r="G40" s="16">
        <v>2</v>
      </c>
      <c r="H40" s="16"/>
      <c r="I40" s="22" t="s">
        <v>458</v>
      </c>
    </row>
    <row r="41" spans="1:9" ht="45.75">
      <c r="A41" s="12" t="s">
        <v>381</v>
      </c>
      <c r="B41" s="13">
        <v>45217</v>
      </c>
      <c r="C41" s="14" t="s">
        <v>22</v>
      </c>
      <c r="D41" s="12" t="s">
        <v>15</v>
      </c>
      <c r="E41" s="12" t="s">
        <v>459</v>
      </c>
      <c r="F41" s="12" t="s">
        <v>460</v>
      </c>
      <c r="G41" s="10"/>
      <c r="H41" s="10"/>
      <c r="I41" s="132" t="s">
        <v>461</v>
      </c>
    </row>
    <row r="42" spans="1:9" ht="76.5">
      <c r="A42" s="12" t="s">
        <v>171</v>
      </c>
      <c r="B42" s="13">
        <v>45217</v>
      </c>
      <c r="C42" s="14" t="s">
        <v>22</v>
      </c>
      <c r="D42" s="8" t="s">
        <v>12</v>
      </c>
      <c r="E42" s="8" t="s">
        <v>361</v>
      </c>
      <c r="F42" s="8" t="s">
        <v>462</v>
      </c>
      <c r="G42" s="16"/>
      <c r="H42" s="16"/>
      <c r="I42" s="22" t="s">
        <v>463</v>
      </c>
    </row>
    <row r="43" spans="1:9" ht="60.75">
      <c r="A43" s="12" t="s">
        <v>90</v>
      </c>
      <c r="B43" s="185">
        <v>45217</v>
      </c>
      <c r="C43" s="14" t="s">
        <v>464</v>
      </c>
      <c r="D43" s="8"/>
      <c r="E43" s="22" t="s">
        <v>457</v>
      </c>
      <c r="F43" s="8" t="s">
        <v>465</v>
      </c>
      <c r="G43" s="16"/>
      <c r="H43" s="16"/>
      <c r="I43" s="22" t="s">
        <v>466</v>
      </c>
    </row>
    <row r="44" spans="1:9">
      <c r="A44" s="12" t="s">
        <v>105</v>
      </c>
      <c r="B44" s="185">
        <v>45217</v>
      </c>
      <c r="C44" s="188" t="s">
        <v>467</v>
      </c>
      <c r="D44" s="8" t="s">
        <v>12</v>
      </c>
      <c r="E44" s="10" t="s">
        <v>468</v>
      </c>
      <c r="F44" s="10" t="s">
        <v>469</v>
      </c>
      <c r="G44" s="16">
        <v>0.2</v>
      </c>
      <c r="H44" s="16"/>
      <c r="I44" s="22"/>
    </row>
    <row r="45" spans="1:9" ht="91.5">
      <c r="A45" s="12" t="s">
        <v>171</v>
      </c>
      <c r="B45" s="13">
        <v>45218</v>
      </c>
      <c r="C45" s="14" t="s">
        <v>419</v>
      </c>
      <c r="D45" s="8" t="s">
        <v>470</v>
      </c>
      <c r="E45" s="8" t="s">
        <v>471</v>
      </c>
      <c r="F45" s="8" t="s">
        <v>472</v>
      </c>
      <c r="G45" s="16"/>
      <c r="H45" s="16"/>
      <c r="I45" s="22" t="s">
        <v>473</v>
      </c>
    </row>
    <row r="46" spans="1:9" ht="45.75">
      <c r="A46" s="53" t="s">
        <v>381</v>
      </c>
      <c r="B46" s="80">
        <v>45218</v>
      </c>
      <c r="C46" s="31" t="s">
        <v>22</v>
      </c>
      <c r="D46" s="53" t="s">
        <v>15</v>
      </c>
      <c r="E46" s="53" t="s">
        <v>391</v>
      </c>
      <c r="F46" s="53" t="s">
        <v>460</v>
      </c>
      <c r="G46" s="144"/>
      <c r="H46" s="144"/>
      <c r="I46" s="145" t="s">
        <v>474</v>
      </c>
    </row>
    <row r="47" spans="1:9" ht="46.5" customHeight="1">
      <c r="A47" s="168" t="s">
        <v>105</v>
      </c>
      <c r="B47" s="13">
        <v>45218</v>
      </c>
      <c r="C47" s="188" t="s">
        <v>467</v>
      </c>
      <c r="D47" s="8" t="s">
        <v>12</v>
      </c>
      <c r="E47" s="10" t="s">
        <v>468</v>
      </c>
      <c r="F47" s="10" t="s">
        <v>469</v>
      </c>
      <c r="G47" s="12">
        <v>0.6</v>
      </c>
      <c r="H47" s="10"/>
      <c r="I47" s="10"/>
    </row>
    <row r="48" spans="1:9" s="15" customFormat="1" ht="121.5">
      <c r="A48" s="16" t="s">
        <v>90</v>
      </c>
      <c r="B48" s="13">
        <v>45218</v>
      </c>
      <c r="C48" s="14" t="s">
        <v>475</v>
      </c>
      <c r="D48" s="8" t="s">
        <v>476</v>
      </c>
      <c r="E48" s="16" t="s">
        <v>477</v>
      </c>
      <c r="F48" s="22" t="s">
        <v>478</v>
      </c>
      <c r="G48" s="12">
        <v>5</v>
      </c>
      <c r="H48" s="16"/>
      <c r="I48" s="22" t="s">
        <v>479</v>
      </c>
    </row>
    <row r="49" spans="1:9" ht="30.75">
      <c r="A49" s="53" t="s">
        <v>171</v>
      </c>
      <c r="B49" s="80">
        <v>45219</v>
      </c>
      <c r="C49" s="31" t="s">
        <v>18</v>
      </c>
      <c r="D49" s="106" t="s">
        <v>480</v>
      </c>
      <c r="E49" s="106" t="s">
        <v>481</v>
      </c>
      <c r="F49" s="106" t="s">
        <v>482</v>
      </c>
      <c r="G49" s="70"/>
      <c r="H49" s="70"/>
      <c r="I49" s="151" t="s">
        <v>483</v>
      </c>
    </row>
    <row r="50" spans="1:9" ht="45.75">
      <c r="A50" s="53" t="s">
        <v>381</v>
      </c>
      <c r="B50" s="80">
        <v>45219</v>
      </c>
      <c r="C50" s="106" t="s">
        <v>22</v>
      </c>
      <c r="D50" s="53" t="s">
        <v>15</v>
      </c>
      <c r="E50" s="53" t="s">
        <v>484</v>
      </c>
      <c r="F50" s="53" t="s">
        <v>460</v>
      </c>
      <c r="G50" s="144"/>
      <c r="H50" s="144"/>
      <c r="I50" s="145" t="s">
        <v>485</v>
      </c>
    </row>
    <row r="51" spans="1:9" s="15" customFormat="1" ht="30.75">
      <c r="A51" s="16" t="s">
        <v>90</v>
      </c>
      <c r="B51" s="13">
        <v>45219</v>
      </c>
      <c r="C51" s="14" t="s">
        <v>486</v>
      </c>
      <c r="D51" s="16"/>
      <c r="E51" s="16" t="s">
        <v>487</v>
      </c>
      <c r="F51" s="16"/>
      <c r="G51" s="16"/>
      <c r="H51" s="16"/>
      <c r="I51" s="22" t="s">
        <v>488</v>
      </c>
    </row>
    <row r="52" spans="1:9" ht="45.75">
      <c r="A52" s="53" t="s">
        <v>381</v>
      </c>
      <c r="B52" s="80">
        <v>45222</v>
      </c>
      <c r="C52" s="106" t="s">
        <v>22</v>
      </c>
      <c r="D52" s="53" t="s">
        <v>489</v>
      </c>
      <c r="E52" s="106" t="s">
        <v>490</v>
      </c>
      <c r="F52" s="53" t="s">
        <v>460</v>
      </c>
      <c r="G52" s="144"/>
      <c r="H52" s="144"/>
      <c r="I52" s="145" t="s">
        <v>491</v>
      </c>
    </row>
    <row r="53" spans="1:9">
      <c r="A53" s="10" t="s">
        <v>105</v>
      </c>
      <c r="B53" s="130">
        <v>45222</v>
      </c>
      <c r="C53" s="188" t="s">
        <v>467</v>
      </c>
      <c r="D53" s="8" t="s">
        <v>12</v>
      </c>
      <c r="E53" s="10" t="s">
        <v>468</v>
      </c>
      <c r="F53" s="10" t="s">
        <v>469</v>
      </c>
      <c r="G53" s="10">
        <v>0.7</v>
      </c>
      <c r="H53" s="10"/>
      <c r="I53" s="10"/>
    </row>
    <row r="54" spans="1:9" ht="30.75">
      <c r="A54" s="10" t="s">
        <v>492</v>
      </c>
      <c r="B54" s="130">
        <v>45222</v>
      </c>
      <c r="C54" s="10" t="s">
        <v>475</v>
      </c>
      <c r="D54" s="106" t="s">
        <v>480</v>
      </c>
      <c r="E54" s="106" t="s">
        <v>493</v>
      </c>
      <c r="F54" s="10" t="s">
        <v>494</v>
      </c>
      <c r="G54" s="10"/>
      <c r="H54" s="10"/>
      <c r="I54" s="132" t="s">
        <v>495</v>
      </c>
    </row>
    <row r="55" spans="1:9" ht="30.75">
      <c r="A55" s="53" t="s">
        <v>171</v>
      </c>
      <c r="B55" s="80">
        <v>45222</v>
      </c>
      <c r="C55" s="31" t="s">
        <v>18</v>
      </c>
      <c r="D55" s="106" t="s">
        <v>480</v>
      </c>
      <c r="E55" s="106" t="s">
        <v>481</v>
      </c>
      <c r="F55" s="106" t="s">
        <v>496</v>
      </c>
      <c r="G55" s="70"/>
      <c r="H55" s="70"/>
      <c r="I55" s="151" t="s">
        <v>497</v>
      </c>
    </row>
    <row r="56" spans="1:9">
      <c r="A56" s="10" t="s">
        <v>105</v>
      </c>
      <c r="B56" s="130">
        <v>45222</v>
      </c>
      <c r="C56" s="188" t="s">
        <v>498</v>
      </c>
      <c r="D56" s="8" t="s">
        <v>12</v>
      </c>
      <c r="E56" s="10" t="s">
        <v>468</v>
      </c>
      <c r="F56" s="10" t="s">
        <v>469</v>
      </c>
      <c r="G56" s="10">
        <v>0.8</v>
      </c>
      <c r="H56" s="10"/>
      <c r="I56" s="10"/>
    </row>
    <row r="57" spans="1:9" ht="45.75">
      <c r="A57" s="12" t="s">
        <v>381</v>
      </c>
      <c r="B57" s="13">
        <v>45224</v>
      </c>
      <c r="C57" s="12" t="s">
        <v>22</v>
      </c>
      <c r="D57" s="12" t="s">
        <v>12</v>
      </c>
      <c r="E57" s="12" t="s">
        <v>499</v>
      </c>
      <c r="F57" s="12" t="s">
        <v>500</v>
      </c>
      <c r="G57" s="10"/>
      <c r="H57" s="10"/>
      <c r="I57" s="14" t="s">
        <v>501</v>
      </c>
    </row>
    <row r="58" spans="1:9" ht="91.5">
      <c r="A58" s="53" t="s">
        <v>171</v>
      </c>
      <c r="B58" s="80">
        <v>45224</v>
      </c>
      <c r="C58" s="31" t="s">
        <v>18</v>
      </c>
      <c r="D58" s="106" t="s">
        <v>480</v>
      </c>
      <c r="E58" s="106" t="s">
        <v>481</v>
      </c>
      <c r="F58" s="106" t="s">
        <v>502</v>
      </c>
      <c r="G58" s="70"/>
      <c r="H58" s="70"/>
      <c r="I58" s="151" t="s">
        <v>503</v>
      </c>
    </row>
    <row r="59" spans="1:9" s="15" customFormat="1" ht="30.75">
      <c r="A59" s="296" t="s">
        <v>492</v>
      </c>
      <c r="B59" s="302">
        <v>45224</v>
      </c>
      <c r="C59" s="296" t="s">
        <v>475</v>
      </c>
      <c r="D59" s="106" t="s">
        <v>480</v>
      </c>
      <c r="E59" s="106" t="s">
        <v>504</v>
      </c>
      <c r="F59" s="16" t="s">
        <v>505</v>
      </c>
      <c r="G59" s="16">
        <v>0.5</v>
      </c>
      <c r="H59" s="30"/>
      <c r="I59" s="16" t="s">
        <v>506</v>
      </c>
    </row>
    <row r="60" spans="1:9" s="15" customFormat="1" ht="60.75">
      <c r="A60" s="304"/>
      <c r="B60" s="305"/>
      <c r="C60" s="304"/>
      <c r="D60" s="16" t="s">
        <v>507</v>
      </c>
      <c r="E60" s="22" t="s">
        <v>508</v>
      </c>
      <c r="F60" s="44" t="s">
        <v>509</v>
      </c>
      <c r="G60" s="16">
        <v>0.2</v>
      </c>
      <c r="H60" s="16"/>
      <c r="I60" s="152" t="s">
        <v>510</v>
      </c>
    </row>
    <row r="61" spans="1:9" ht="76.5">
      <c r="A61" s="53" t="s">
        <v>171</v>
      </c>
      <c r="B61" s="80">
        <v>45225</v>
      </c>
      <c r="C61" s="31" t="s">
        <v>18</v>
      </c>
      <c r="D61" s="106" t="s">
        <v>480</v>
      </c>
      <c r="E61" s="106" t="s">
        <v>481</v>
      </c>
      <c r="F61" s="106" t="s">
        <v>511</v>
      </c>
      <c r="G61" s="70"/>
      <c r="H61" s="70"/>
      <c r="I61" s="151" t="s">
        <v>512</v>
      </c>
    </row>
    <row r="62" spans="1:9">
      <c r="A62" s="10" t="s">
        <v>105</v>
      </c>
      <c r="B62" s="130">
        <v>45225</v>
      </c>
      <c r="C62" s="188" t="s">
        <v>498</v>
      </c>
      <c r="D62" s="8" t="s">
        <v>12</v>
      </c>
      <c r="E62" s="10" t="s">
        <v>468</v>
      </c>
      <c r="F62" s="10" t="s">
        <v>469</v>
      </c>
      <c r="G62" s="10">
        <v>1</v>
      </c>
      <c r="H62" s="10"/>
      <c r="I62" s="10"/>
    </row>
    <row r="63" spans="1:9" ht="45.75">
      <c r="A63" s="12" t="s">
        <v>381</v>
      </c>
      <c r="B63" s="13">
        <v>45225</v>
      </c>
      <c r="C63" s="12" t="s">
        <v>22</v>
      </c>
      <c r="D63" s="12" t="s">
        <v>12</v>
      </c>
      <c r="E63" s="12" t="s">
        <v>513</v>
      </c>
      <c r="F63" s="12" t="s">
        <v>500</v>
      </c>
      <c r="G63" s="10"/>
      <c r="H63" s="10"/>
      <c r="I63" s="132" t="s">
        <v>514</v>
      </c>
    </row>
    <row r="64" spans="1:9" ht="60.75">
      <c r="A64" s="296" t="s">
        <v>492</v>
      </c>
      <c r="B64" s="302">
        <v>45225</v>
      </c>
      <c r="C64" s="296" t="s">
        <v>515</v>
      </c>
      <c r="D64" s="16" t="s">
        <v>507</v>
      </c>
      <c r="E64" s="22" t="s">
        <v>508</v>
      </c>
      <c r="F64" s="44" t="s">
        <v>509</v>
      </c>
      <c r="G64" s="16">
        <v>0.5</v>
      </c>
      <c r="H64" s="10"/>
      <c r="I64" s="10" t="s">
        <v>516</v>
      </c>
    </row>
    <row r="65" spans="1:9" ht="60.75">
      <c r="A65" s="304"/>
      <c r="B65" s="305"/>
      <c r="C65" s="304"/>
      <c r="D65" s="10"/>
      <c r="E65" s="22" t="s">
        <v>517</v>
      </c>
      <c r="F65" s="44" t="s">
        <v>518</v>
      </c>
      <c r="G65" s="10">
        <v>0.5</v>
      </c>
      <c r="H65" s="10"/>
      <c r="I65" s="10"/>
    </row>
    <row r="66" spans="1:9" ht="60.75">
      <c r="A66" s="12" t="s">
        <v>381</v>
      </c>
      <c r="B66" s="13">
        <v>45226</v>
      </c>
      <c r="C66" s="12" t="s">
        <v>22</v>
      </c>
      <c r="D66" s="12" t="s">
        <v>519</v>
      </c>
      <c r="E66" s="12" t="s">
        <v>520</v>
      </c>
      <c r="F66" s="12" t="s">
        <v>521</v>
      </c>
      <c r="G66" s="10"/>
      <c r="H66" s="10"/>
      <c r="I66" s="132" t="s">
        <v>522</v>
      </c>
    </row>
    <row r="67" spans="1:9" ht="76.5">
      <c r="A67" s="53" t="s">
        <v>171</v>
      </c>
      <c r="B67" s="80">
        <v>45226</v>
      </c>
      <c r="C67" s="31" t="s">
        <v>18</v>
      </c>
      <c r="D67" s="106" t="s">
        <v>480</v>
      </c>
      <c r="E67" s="106" t="s">
        <v>481</v>
      </c>
      <c r="F67" s="106" t="s">
        <v>523</v>
      </c>
      <c r="G67" s="70"/>
      <c r="H67" s="70"/>
      <c r="I67" s="151" t="s">
        <v>524</v>
      </c>
    </row>
    <row r="68" spans="1:9">
      <c r="A68" s="10" t="s">
        <v>105</v>
      </c>
      <c r="B68" s="130">
        <v>45226</v>
      </c>
      <c r="C68" s="188" t="s">
        <v>498</v>
      </c>
      <c r="D68" s="8" t="s">
        <v>12</v>
      </c>
      <c r="E68" s="144" t="s">
        <v>525</v>
      </c>
      <c r="F68" s="10" t="s">
        <v>526</v>
      </c>
      <c r="G68" s="10">
        <v>1</v>
      </c>
      <c r="H68" s="10"/>
      <c r="I68" s="10"/>
    </row>
    <row r="69" spans="1:9" ht="106.5">
      <c r="A69" s="10" t="s">
        <v>492</v>
      </c>
      <c r="B69" s="130">
        <v>45226</v>
      </c>
      <c r="C69" s="10" t="s">
        <v>527</v>
      </c>
      <c r="D69" s="38" t="s">
        <v>528</v>
      </c>
      <c r="E69" s="10" t="s">
        <v>529</v>
      </c>
      <c r="F69" s="202" t="s">
        <v>530</v>
      </c>
      <c r="G69" s="10">
        <v>7</v>
      </c>
      <c r="H69" s="10"/>
      <c r="I69" s="132" t="s">
        <v>531</v>
      </c>
    </row>
    <row r="70" spans="1:9" ht="30.75">
      <c r="A70" s="53" t="s">
        <v>171</v>
      </c>
      <c r="B70" s="80">
        <v>45229</v>
      </c>
      <c r="C70" s="31" t="s">
        <v>22</v>
      </c>
      <c r="D70" s="97" t="s">
        <v>532</v>
      </c>
      <c r="E70" s="8" t="s">
        <v>533</v>
      </c>
      <c r="F70" s="203" t="s">
        <v>534</v>
      </c>
      <c r="G70" s="95"/>
      <c r="H70" s="70"/>
      <c r="I70" s="151" t="s">
        <v>535</v>
      </c>
    </row>
    <row r="71" spans="1:9" ht="45.75">
      <c r="A71" s="12" t="s">
        <v>381</v>
      </c>
      <c r="B71" s="13">
        <v>45229</v>
      </c>
      <c r="C71" s="12" t="s">
        <v>11</v>
      </c>
      <c r="D71" s="29" t="s">
        <v>15</v>
      </c>
      <c r="E71" s="205" t="s">
        <v>536</v>
      </c>
      <c r="F71" s="204" t="s">
        <v>537</v>
      </c>
      <c r="G71" s="143">
        <v>1</v>
      </c>
      <c r="H71" s="10"/>
      <c r="I71" s="28" t="s">
        <v>538</v>
      </c>
    </row>
    <row r="72" spans="1:9" ht="45.75">
      <c r="A72" s="10" t="s">
        <v>105</v>
      </c>
      <c r="B72" s="130">
        <v>45229</v>
      </c>
      <c r="C72" s="208" t="s">
        <v>498</v>
      </c>
      <c r="D72" s="8" t="s">
        <v>12</v>
      </c>
      <c r="E72" s="145" t="s">
        <v>539</v>
      </c>
      <c r="F72" s="132" t="s">
        <v>539</v>
      </c>
      <c r="G72" s="10">
        <v>1</v>
      </c>
      <c r="H72" s="10"/>
      <c r="I72" s="10"/>
    </row>
    <row r="73" spans="1:9" ht="106.5">
      <c r="A73" s="10" t="s">
        <v>492</v>
      </c>
      <c r="B73" s="207">
        <v>45229</v>
      </c>
      <c r="C73" s="16" t="s">
        <v>540</v>
      </c>
      <c r="D73" s="143" t="s">
        <v>12</v>
      </c>
      <c r="E73" t="s">
        <v>541</v>
      </c>
      <c r="F73" s="132" t="s">
        <v>542</v>
      </c>
      <c r="G73" s="12">
        <v>7</v>
      </c>
      <c r="H73" s="10"/>
      <c r="I73" s="132" t="s">
        <v>543</v>
      </c>
    </row>
    <row r="74" spans="1:9" ht="45.75">
      <c r="A74" s="10" t="s">
        <v>105</v>
      </c>
      <c r="B74" s="130">
        <v>45230</v>
      </c>
      <c r="C74" s="208" t="s">
        <v>498</v>
      </c>
      <c r="D74" s="8" t="s">
        <v>12</v>
      </c>
      <c r="E74" s="145" t="s">
        <v>539</v>
      </c>
      <c r="F74" s="132" t="s">
        <v>539</v>
      </c>
      <c r="G74" s="10">
        <v>1</v>
      </c>
      <c r="H74" s="10"/>
      <c r="I74" s="10"/>
    </row>
    <row r="75" spans="1:9" ht="30.75">
      <c r="A75" s="53" t="s">
        <v>171</v>
      </c>
      <c r="B75" s="80">
        <v>45230</v>
      </c>
      <c r="C75" s="31" t="s">
        <v>22</v>
      </c>
      <c r="D75" s="97" t="s">
        <v>532</v>
      </c>
      <c r="E75" s="8" t="s">
        <v>533</v>
      </c>
      <c r="F75" s="203" t="s">
        <v>544</v>
      </c>
      <c r="G75" s="95"/>
      <c r="H75" s="70"/>
      <c r="I75" s="151" t="s">
        <v>535</v>
      </c>
    </row>
    <row r="76" spans="1:9" ht="30.75">
      <c r="A76" s="12" t="s">
        <v>381</v>
      </c>
      <c r="B76" s="80">
        <v>45230</v>
      </c>
      <c r="C76" s="12" t="s">
        <v>545</v>
      </c>
      <c r="D76" s="29" t="s">
        <v>15</v>
      </c>
      <c r="E76" s="160" t="s">
        <v>546</v>
      </c>
      <c r="F76" s="204" t="s">
        <v>537</v>
      </c>
      <c r="G76" s="143">
        <v>1</v>
      </c>
      <c r="H76" s="10"/>
      <c r="I76" s="28" t="s">
        <v>547</v>
      </c>
    </row>
    <row r="77" spans="1:9" ht="60.75">
      <c r="A77" s="10" t="s">
        <v>492</v>
      </c>
      <c r="B77" s="207">
        <v>45230</v>
      </c>
      <c r="C77" s="16" t="s">
        <v>540</v>
      </c>
      <c r="D77" s="211" t="s">
        <v>12</v>
      </c>
      <c r="E77" s="10" t="s">
        <v>541</v>
      </c>
      <c r="F77" s="209" t="s">
        <v>548</v>
      </c>
      <c r="G77" s="12">
        <v>2</v>
      </c>
      <c r="H77" s="10"/>
      <c r="I77" s="210" t="s">
        <v>549</v>
      </c>
    </row>
    <row r="78" spans="1:9">
      <c r="A78" s="10"/>
      <c r="B78" s="130"/>
      <c r="C78" s="208"/>
      <c r="D78" s="8"/>
      <c r="E78" s="145"/>
      <c r="F78" s="132"/>
      <c r="G78" s="10"/>
      <c r="H78" s="10"/>
      <c r="I78" s="10"/>
    </row>
    <row r="79" spans="1:9">
      <c r="A79" s="10"/>
      <c r="B79" s="40"/>
      <c r="C79" s="10"/>
      <c r="D79" s="10"/>
      <c r="E79" s="10"/>
      <c r="F79" s="10"/>
      <c r="G79" s="10"/>
      <c r="H79" s="10"/>
      <c r="I79" s="10"/>
    </row>
    <row r="80" spans="1:9">
      <c r="A80" s="10"/>
      <c r="B80" s="40"/>
      <c r="C80" s="10"/>
      <c r="D80" s="10"/>
      <c r="E80" s="10"/>
      <c r="F80" s="10"/>
      <c r="G80" s="10"/>
      <c r="H80" s="10"/>
      <c r="I80" s="10"/>
    </row>
    <row r="81" spans="1:9">
      <c r="A81" s="10"/>
      <c r="B81" s="40"/>
      <c r="C81" s="10"/>
      <c r="D81" s="10"/>
      <c r="E81" s="10"/>
      <c r="F81" s="10"/>
      <c r="G81" s="10"/>
      <c r="H81" s="10"/>
      <c r="I81" s="10"/>
    </row>
    <row r="82" spans="1:9">
      <c r="A82" s="10"/>
      <c r="B82" s="40"/>
      <c r="C82" s="10"/>
      <c r="D82" s="10"/>
      <c r="E82" s="10"/>
      <c r="F82" s="10"/>
      <c r="G82" s="10"/>
      <c r="H82" s="10"/>
      <c r="I82" s="10"/>
    </row>
    <row r="83" spans="1:9">
      <c r="A83" s="10"/>
      <c r="B83" s="40"/>
      <c r="C83" s="10"/>
      <c r="D83" s="10"/>
      <c r="E83" s="10"/>
      <c r="F83" s="10"/>
      <c r="G83" s="10"/>
      <c r="H83" s="10"/>
      <c r="I83" s="10"/>
    </row>
    <row r="84" spans="1:9">
      <c r="A84" s="10"/>
      <c r="B84" s="40"/>
      <c r="C84" s="10"/>
      <c r="D84" s="10"/>
      <c r="E84" s="10"/>
      <c r="F84" s="10"/>
      <c r="G84" s="10"/>
      <c r="H84" s="10"/>
      <c r="I84" s="10"/>
    </row>
    <row r="85" spans="1:9">
      <c r="A85" s="10"/>
      <c r="B85" s="40"/>
      <c r="C85" s="10"/>
      <c r="D85" s="10"/>
      <c r="E85" s="10"/>
      <c r="F85" s="10"/>
      <c r="G85" s="10"/>
      <c r="H85" s="10"/>
      <c r="I85" s="10"/>
    </row>
    <row r="86" spans="1:9">
      <c r="A86" s="10"/>
      <c r="B86" s="40"/>
      <c r="C86" s="10"/>
      <c r="D86" s="10"/>
      <c r="E86" s="10"/>
      <c r="F86" s="10"/>
      <c r="G86" s="10"/>
      <c r="H86" s="10"/>
      <c r="I86" s="10"/>
    </row>
    <row r="87" spans="1:9">
      <c r="A87" s="10"/>
      <c r="B87" s="40"/>
      <c r="C87" s="10"/>
      <c r="D87" s="10"/>
      <c r="E87" s="10"/>
      <c r="F87" s="10"/>
      <c r="G87" s="10"/>
      <c r="H87" s="10"/>
      <c r="I87" s="10"/>
    </row>
    <row r="88" spans="1:9">
      <c r="A88" s="10"/>
      <c r="B88" s="40"/>
      <c r="C88" s="10"/>
      <c r="D88" s="10"/>
      <c r="E88" s="10"/>
      <c r="F88" s="10"/>
      <c r="G88" s="10"/>
      <c r="H88" s="10"/>
      <c r="I88" s="10"/>
    </row>
    <row r="89" spans="1:9">
      <c r="A89" s="10"/>
      <c r="B89" s="40"/>
      <c r="C89" s="10"/>
      <c r="D89" s="10"/>
      <c r="E89" s="10"/>
      <c r="F89" s="10"/>
      <c r="G89" s="10"/>
      <c r="H89" s="10"/>
      <c r="I89" s="10"/>
    </row>
    <row r="90" spans="1:9">
      <c r="A90" s="10"/>
      <c r="B90" s="40"/>
      <c r="C90" s="10"/>
      <c r="D90" s="10"/>
      <c r="E90" s="10"/>
      <c r="F90" s="10"/>
      <c r="G90" s="10"/>
      <c r="H90" s="10"/>
      <c r="I90" s="10"/>
    </row>
    <row r="91" spans="1:9">
      <c r="A91" s="10"/>
      <c r="B91" s="40"/>
      <c r="C91" s="10"/>
      <c r="D91" s="10"/>
      <c r="E91" s="10"/>
      <c r="F91" s="10"/>
      <c r="G91" s="10"/>
      <c r="H91" s="10"/>
      <c r="I91" s="10"/>
    </row>
    <row r="92" spans="1:9">
      <c r="A92" s="10"/>
      <c r="B92" s="40"/>
      <c r="C92" s="10"/>
      <c r="D92" s="10"/>
      <c r="E92" s="10"/>
      <c r="F92" s="10"/>
      <c r="G92" s="10"/>
      <c r="H92" s="10"/>
      <c r="I92" s="10"/>
    </row>
    <row r="93" spans="1:9">
      <c r="A93" s="10"/>
      <c r="B93" s="40"/>
      <c r="C93" s="10"/>
      <c r="D93" s="10"/>
      <c r="E93" s="10"/>
      <c r="F93" s="10"/>
      <c r="G93" s="10"/>
      <c r="H93" s="10"/>
      <c r="I93" s="10"/>
    </row>
    <row r="94" spans="1:9">
      <c r="A94" s="10"/>
      <c r="B94" s="40"/>
      <c r="C94" s="10"/>
      <c r="D94" s="10"/>
      <c r="E94" s="10"/>
      <c r="F94" s="10"/>
      <c r="G94" s="10"/>
      <c r="H94" s="10"/>
      <c r="I94" s="10"/>
    </row>
    <row r="95" spans="1:9">
      <c r="A95" s="10"/>
      <c r="B95" s="40"/>
      <c r="C95" s="10"/>
      <c r="D95" s="10"/>
      <c r="E95" s="10"/>
      <c r="F95" s="10"/>
      <c r="G95" s="10"/>
      <c r="H95" s="10"/>
      <c r="I95" s="10"/>
    </row>
    <row r="96" spans="1:9">
      <c r="A96" s="10"/>
      <c r="B96" s="40"/>
      <c r="C96" s="10"/>
      <c r="D96" s="10"/>
      <c r="E96" s="10"/>
      <c r="F96" s="10"/>
      <c r="G96" s="10"/>
      <c r="H96" s="10"/>
      <c r="I96" s="10"/>
    </row>
  </sheetData>
  <autoFilter ref="A1:I77" xr:uid="{245B3C02-3F74-4B08-9F20-EE33595BC0A4}"/>
  <mergeCells count="16">
    <mergeCell ref="D27:D28"/>
    <mergeCell ref="E27:E28"/>
    <mergeCell ref="C59:C60"/>
    <mergeCell ref="B59:B60"/>
    <mergeCell ref="A59:A60"/>
    <mergeCell ref="E30:E31"/>
    <mergeCell ref="A30:A31"/>
    <mergeCell ref="B30:B31"/>
    <mergeCell ref="C30:C31"/>
    <mergeCell ref="D30:D31"/>
    <mergeCell ref="C64:C65"/>
    <mergeCell ref="A64:A65"/>
    <mergeCell ref="B64:B65"/>
    <mergeCell ref="A27:A28"/>
    <mergeCell ref="B27:B28"/>
    <mergeCell ref="C27:C2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C66C4-AEC4-452D-AF15-21129B34528E}">
  <sheetPr filterMode="1"/>
  <dimension ref="A1:J88"/>
  <sheetViews>
    <sheetView topLeftCell="A34" workbookViewId="0">
      <selection activeCell="A10" sqref="A10"/>
    </sheetView>
  </sheetViews>
  <sheetFormatPr defaultRowHeight="15"/>
  <cols>
    <col min="2" max="2" width="11.42578125" customWidth="1"/>
    <col min="3" max="3" width="29.85546875" customWidth="1"/>
    <col min="4" max="4" width="15.85546875" customWidth="1"/>
    <col min="5" max="5" width="29.140625" customWidth="1"/>
    <col min="6" max="6" width="74.7109375" customWidth="1"/>
    <col min="9" max="9" width="43.28515625" style="15" customWidth="1"/>
  </cols>
  <sheetData>
    <row r="1" spans="1:9">
      <c r="A1" s="126" t="s">
        <v>84</v>
      </c>
      <c r="B1" s="126" t="s">
        <v>85</v>
      </c>
      <c r="C1" s="126" t="s">
        <v>86</v>
      </c>
      <c r="D1" s="126" t="s">
        <v>1</v>
      </c>
      <c r="E1" s="126" t="s">
        <v>2</v>
      </c>
      <c r="F1" s="126" t="s">
        <v>87</v>
      </c>
      <c r="G1" s="126" t="s">
        <v>88</v>
      </c>
      <c r="H1" s="126" t="s">
        <v>89</v>
      </c>
      <c r="I1" s="17" t="s">
        <v>10</v>
      </c>
    </row>
    <row r="2" spans="1:9" ht="61.5" hidden="1" customHeight="1">
      <c r="A2" s="53" t="s">
        <v>171</v>
      </c>
      <c r="B2" s="80">
        <v>45232</v>
      </c>
      <c r="C2" s="159" t="s">
        <v>22</v>
      </c>
      <c r="D2" s="81" t="s">
        <v>532</v>
      </c>
      <c r="E2" s="8" t="s">
        <v>533</v>
      </c>
      <c r="F2" s="203" t="s">
        <v>550</v>
      </c>
      <c r="G2" s="95"/>
      <c r="H2" s="70"/>
      <c r="I2" s="151" t="s">
        <v>535</v>
      </c>
    </row>
    <row r="3" spans="1:9" ht="60.75">
      <c r="A3" s="12" t="s">
        <v>381</v>
      </c>
      <c r="B3" s="13">
        <v>45232</v>
      </c>
      <c r="C3" s="12" t="s">
        <v>545</v>
      </c>
      <c r="D3" s="29" t="s">
        <v>15</v>
      </c>
      <c r="E3" s="205" t="s">
        <v>536</v>
      </c>
      <c r="F3" s="12" t="s">
        <v>551</v>
      </c>
      <c r="G3" s="10"/>
      <c r="H3" s="38"/>
      <c r="I3" s="225" t="s">
        <v>552</v>
      </c>
    </row>
    <row r="4" spans="1:9" ht="60.75" hidden="1">
      <c r="A4" s="10" t="s">
        <v>105</v>
      </c>
      <c r="B4" s="130">
        <v>45232</v>
      </c>
      <c r="C4" s="208" t="s">
        <v>498</v>
      </c>
      <c r="D4" s="8" t="s">
        <v>12</v>
      </c>
      <c r="E4" s="145" t="s">
        <v>553</v>
      </c>
      <c r="F4" s="132" t="s">
        <v>553</v>
      </c>
      <c r="G4" s="10"/>
      <c r="H4" s="10"/>
      <c r="I4" s="152"/>
    </row>
    <row r="5" spans="1:9" ht="30.75" hidden="1">
      <c r="A5" s="10" t="s">
        <v>492</v>
      </c>
      <c r="B5" s="207">
        <v>45232</v>
      </c>
      <c r="C5" s="16" t="s">
        <v>554</v>
      </c>
      <c r="D5" s="211" t="s">
        <v>12</v>
      </c>
      <c r="E5" s="10" t="s">
        <v>541</v>
      </c>
      <c r="F5" s="209" t="s">
        <v>555</v>
      </c>
      <c r="G5" s="12">
        <v>2</v>
      </c>
      <c r="H5" s="10"/>
      <c r="I5" s="22" t="s">
        <v>556</v>
      </c>
    </row>
    <row r="6" spans="1:9" ht="76.5" hidden="1">
      <c r="A6" s="53" t="s">
        <v>171</v>
      </c>
      <c r="B6" s="80">
        <v>45233</v>
      </c>
      <c r="C6" s="159" t="s">
        <v>22</v>
      </c>
      <c r="D6" s="81" t="s">
        <v>532</v>
      </c>
      <c r="E6" s="8" t="s">
        <v>533</v>
      </c>
      <c r="F6" s="203" t="s">
        <v>557</v>
      </c>
      <c r="G6" s="95"/>
      <c r="H6" s="70"/>
      <c r="I6" s="151" t="s">
        <v>558</v>
      </c>
    </row>
    <row r="7" spans="1:9" ht="43.5" customHeight="1">
      <c r="A7" s="12" t="s">
        <v>381</v>
      </c>
      <c r="B7" s="80">
        <v>45233</v>
      </c>
      <c r="C7" s="8" t="s">
        <v>559</v>
      </c>
      <c r="D7" s="29" t="s">
        <v>15</v>
      </c>
      <c r="E7" s="205" t="s">
        <v>560</v>
      </c>
      <c r="F7" s="12" t="s">
        <v>551</v>
      </c>
      <c r="G7" s="10"/>
      <c r="H7" s="38"/>
      <c r="I7" s="225" t="s">
        <v>561</v>
      </c>
    </row>
    <row r="8" spans="1:9" ht="30.75" customHeight="1">
      <c r="A8" s="10" t="s">
        <v>105</v>
      </c>
      <c r="B8" s="80">
        <v>45233</v>
      </c>
      <c r="C8" s="208" t="s">
        <v>498</v>
      </c>
      <c r="D8" s="8" t="s">
        <v>12</v>
      </c>
      <c r="E8" s="145" t="s">
        <v>553</v>
      </c>
      <c r="F8" s="132" t="s">
        <v>553</v>
      </c>
      <c r="G8" s="10">
        <v>1</v>
      </c>
      <c r="H8" s="10"/>
      <c r="I8" s="152" t="s">
        <v>38</v>
      </c>
    </row>
    <row r="9" spans="1:9" ht="48" customHeight="1">
      <c r="A9" s="10" t="s">
        <v>492</v>
      </c>
      <c r="B9" s="212">
        <v>45233</v>
      </c>
      <c r="C9" s="10" t="s">
        <v>562</v>
      </c>
      <c r="D9" s="10" t="s">
        <v>12</v>
      </c>
      <c r="E9" s="10" t="s">
        <v>563</v>
      </c>
      <c r="F9" s="10" t="s">
        <v>564</v>
      </c>
      <c r="G9" s="10">
        <v>1</v>
      </c>
      <c r="H9" s="10"/>
      <c r="I9" s="22" t="s">
        <v>565</v>
      </c>
    </row>
    <row r="10" spans="1:9" ht="60.75">
      <c r="A10" s="12" t="s">
        <v>381</v>
      </c>
      <c r="B10" s="80">
        <v>45236</v>
      </c>
      <c r="C10" s="8" t="s">
        <v>566</v>
      </c>
      <c r="D10" s="29" t="s">
        <v>15</v>
      </c>
      <c r="E10" s="205" t="s">
        <v>567</v>
      </c>
      <c r="F10" s="204" t="s">
        <v>568</v>
      </c>
      <c r="G10" s="10"/>
      <c r="H10" s="38"/>
      <c r="I10" s="225" t="s">
        <v>569</v>
      </c>
    </row>
    <row r="11" spans="1:9" ht="137.25" hidden="1">
      <c r="A11" s="53" t="s">
        <v>171</v>
      </c>
      <c r="B11" s="80">
        <v>45236</v>
      </c>
      <c r="C11" s="159" t="s">
        <v>22</v>
      </c>
      <c r="D11" s="81" t="s">
        <v>532</v>
      </c>
      <c r="E11" s="8" t="s">
        <v>533</v>
      </c>
      <c r="F11" s="203" t="s">
        <v>570</v>
      </c>
      <c r="G11" s="95"/>
      <c r="H11" s="70"/>
      <c r="I11" s="348" t="s">
        <v>571</v>
      </c>
    </row>
    <row r="12" spans="1:9" ht="45.75" hidden="1">
      <c r="A12" s="10" t="s">
        <v>105</v>
      </c>
      <c r="B12" s="80">
        <v>45236</v>
      </c>
      <c r="C12" s="208" t="s">
        <v>498</v>
      </c>
      <c r="D12" s="8" t="s">
        <v>12</v>
      </c>
      <c r="E12" s="145" t="s">
        <v>572</v>
      </c>
      <c r="F12" s="132" t="s">
        <v>573</v>
      </c>
      <c r="G12" s="10"/>
      <c r="H12" s="10"/>
      <c r="I12" s="152"/>
    </row>
    <row r="13" spans="1:9" ht="60.75" hidden="1">
      <c r="A13" s="10" t="s">
        <v>492</v>
      </c>
      <c r="B13" s="212">
        <v>45236</v>
      </c>
      <c r="C13" s="10" t="s">
        <v>574</v>
      </c>
      <c r="D13" s="10" t="s">
        <v>12</v>
      </c>
      <c r="E13" s="10" t="s">
        <v>563</v>
      </c>
      <c r="F13" s="132" t="s">
        <v>575</v>
      </c>
      <c r="G13" s="10">
        <v>2.5</v>
      </c>
      <c r="H13" s="10">
        <v>300</v>
      </c>
      <c r="I13" s="16" t="s">
        <v>576</v>
      </c>
    </row>
    <row r="14" spans="1:9" ht="30.75" hidden="1">
      <c r="A14" s="53" t="s">
        <v>171</v>
      </c>
      <c r="B14" s="80">
        <v>45237</v>
      </c>
      <c r="C14" s="159" t="s">
        <v>22</v>
      </c>
      <c r="D14" s="97" t="s">
        <v>60</v>
      </c>
      <c r="E14" s="106" t="s">
        <v>577</v>
      </c>
      <c r="F14" s="202" t="s">
        <v>578</v>
      </c>
      <c r="G14" s="95"/>
      <c r="H14" s="70"/>
      <c r="I14" s="348" t="s">
        <v>579</v>
      </c>
    </row>
    <row r="15" spans="1:9" ht="60.75">
      <c r="A15" s="12" t="s">
        <v>381</v>
      </c>
      <c r="B15" s="80">
        <v>45237</v>
      </c>
      <c r="C15" s="8" t="s">
        <v>566</v>
      </c>
      <c r="D15" s="29" t="s">
        <v>15</v>
      </c>
      <c r="E15" s="205" t="s">
        <v>580</v>
      </c>
      <c r="F15" s="214" t="s">
        <v>581</v>
      </c>
      <c r="G15" s="10"/>
      <c r="H15" s="10"/>
      <c r="I15" s="226" t="s">
        <v>582</v>
      </c>
    </row>
    <row r="16" spans="1:9" ht="45.75" hidden="1">
      <c r="A16" s="10" t="s">
        <v>105</v>
      </c>
      <c r="B16" s="80">
        <v>45237</v>
      </c>
      <c r="C16" s="208" t="s">
        <v>498</v>
      </c>
      <c r="D16" s="8" t="s">
        <v>12</v>
      </c>
      <c r="E16" s="145" t="s">
        <v>572</v>
      </c>
      <c r="F16" s="132" t="s">
        <v>573</v>
      </c>
      <c r="G16" s="10"/>
      <c r="H16" s="10"/>
      <c r="I16" s="152" t="s">
        <v>583</v>
      </c>
    </row>
    <row r="17" spans="1:9" ht="244.5" hidden="1">
      <c r="A17" s="10" t="s">
        <v>492</v>
      </c>
      <c r="B17" s="212">
        <v>45237</v>
      </c>
      <c r="C17" s="132" t="s">
        <v>584</v>
      </c>
      <c r="D17" s="10" t="s">
        <v>12</v>
      </c>
      <c r="E17" s="10" t="s">
        <v>563</v>
      </c>
      <c r="F17" s="132" t="s">
        <v>585</v>
      </c>
      <c r="G17" s="10">
        <v>11</v>
      </c>
      <c r="H17" s="10">
        <v>800</v>
      </c>
      <c r="I17" s="22" t="s">
        <v>586</v>
      </c>
    </row>
    <row r="18" spans="1:9" ht="30.75">
      <c r="A18" s="12" t="s">
        <v>381</v>
      </c>
      <c r="B18" s="80">
        <v>45238</v>
      </c>
      <c r="C18" s="8" t="s">
        <v>587</v>
      </c>
      <c r="D18" s="29" t="s">
        <v>15</v>
      </c>
      <c r="E18" s="205" t="s">
        <v>588</v>
      </c>
      <c r="F18" s="215" t="s">
        <v>589</v>
      </c>
      <c r="G18" s="10"/>
      <c r="H18" s="10"/>
      <c r="I18" s="226" t="s">
        <v>590</v>
      </c>
    </row>
    <row r="19" spans="1:9" ht="91.5" hidden="1">
      <c r="A19" s="53" t="s">
        <v>171</v>
      </c>
      <c r="B19" s="80">
        <v>45238</v>
      </c>
      <c r="C19" s="159" t="s">
        <v>22</v>
      </c>
      <c r="D19" s="97" t="s">
        <v>60</v>
      </c>
      <c r="E19" s="106" t="s">
        <v>577</v>
      </c>
      <c r="F19" s="202" t="s">
        <v>591</v>
      </c>
      <c r="G19" s="95"/>
      <c r="H19" s="70"/>
      <c r="I19" s="151" t="s">
        <v>592</v>
      </c>
    </row>
    <row r="20" spans="1:9" ht="45.75" hidden="1">
      <c r="A20" s="10" t="s">
        <v>492</v>
      </c>
      <c r="B20" s="80">
        <v>45238</v>
      </c>
      <c r="C20" s="216" t="s">
        <v>593</v>
      </c>
      <c r="D20" s="10" t="s">
        <v>12</v>
      </c>
      <c r="E20" s="10" t="s">
        <v>563</v>
      </c>
      <c r="F20" s="10" t="s">
        <v>594</v>
      </c>
      <c r="G20" s="10">
        <v>8</v>
      </c>
      <c r="H20" s="10">
        <v>600</v>
      </c>
      <c r="I20" s="22" t="s">
        <v>595</v>
      </c>
    </row>
    <row r="21" spans="1:9" ht="30.75" hidden="1">
      <c r="A21" s="53" t="s">
        <v>171</v>
      </c>
      <c r="B21" s="80">
        <v>45239</v>
      </c>
      <c r="C21" s="53" t="s">
        <v>22</v>
      </c>
      <c r="D21" s="97" t="s">
        <v>60</v>
      </c>
      <c r="E21" s="106" t="s">
        <v>577</v>
      </c>
      <c r="F21" s="202" t="s">
        <v>596</v>
      </c>
      <c r="G21" s="95"/>
      <c r="H21" s="70"/>
      <c r="I21" s="151" t="s">
        <v>597</v>
      </c>
    </row>
    <row r="22" spans="1:9" ht="45.75">
      <c r="A22" s="12" t="s">
        <v>381</v>
      </c>
      <c r="B22" s="80">
        <v>45239</v>
      </c>
      <c r="C22" s="12" t="s">
        <v>22</v>
      </c>
      <c r="D22" s="8" t="s">
        <v>598</v>
      </c>
      <c r="E22" s="8" t="s">
        <v>599</v>
      </c>
      <c r="F22" s="12" t="s">
        <v>600</v>
      </c>
      <c r="G22" s="10"/>
      <c r="H22" s="10"/>
      <c r="I22" s="14" t="s">
        <v>601</v>
      </c>
    </row>
    <row r="23" spans="1:9" ht="60.75" hidden="1">
      <c r="A23" s="10" t="s">
        <v>492</v>
      </c>
      <c r="B23" s="80">
        <v>45239</v>
      </c>
      <c r="C23" t="s">
        <v>602</v>
      </c>
      <c r="D23" s="10" t="s">
        <v>603</v>
      </c>
      <c r="E23" s="10" t="s">
        <v>604</v>
      </c>
      <c r="F23" s="132" t="s">
        <v>605</v>
      </c>
      <c r="G23" s="10"/>
      <c r="H23" s="10"/>
      <c r="I23" s="22" t="s">
        <v>606</v>
      </c>
    </row>
    <row r="24" spans="1:9" ht="91.5">
      <c r="A24" s="12" t="s">
        <v>381</v>
      </c>
      <c r="B24" s="80">
        <v>45240</v>
      </c>
      <c r="C24" s="12" t="s">
        <v>11</v>
      </c>
      <c r="D24" s="8" t="s">
        <v>598</v>
      </c>
      <c r="E24" s="106" t="s">
        <v>607</v>
      </c>
      <c r="F24" s="12" t="s">
        <v>608</v>
      </c>
      <c r="G24" s="10"/>
      <c r="H24" s="10"/>
      <c r="I24" s="217" t="s">
        <v>609</v>
      </c>
    </row>
    <row r="25" spans="1:9" ht="30.75" hidden="1">
      <c r="A25" s="53" t="s">
        <v>171</v>
      </c>
      <c r="B25" s="80">
        <v>45240</v>
      </c>
      <c r="C25" s="12" t="s">
        <v>22</v>
      </c>
      <c r="D25" s="97" t="s">
        <v>60</v>
      </c>
      <c r="E25" s="106" t="s">
        <v>577</v>
      </c>
      <c r="F25" s="202" t="s">
        <v>610</v>
      </c>
      <c r="G25" s="95"/>
      <c r="H25" s="70"/>
      <c r="I25" s="151" t="s">
        <v>597</v>
      </c>
    </row>
    <row r="26" spans="1:9" s="15" customFormat="1" ht="76.5" hidden="1">
      <c r="A26" s="16" t="s">
        <v>492</v>
      </c>
      <c r="B26" s="133">
        <v>45240</v>
      </c>
      <c r="C26" s="167" t="s">
        <v>611</v>
      </c>
      <c r="D26" s="16" t="s">
        <v>12</v>
      </c>
      <c r="E26" s="16" t="s">
        <v>563</v>
      </c>
      <c r="F26" s="22" t="s">
        <v>612</v>
      </c>
      <c r="G26" s="16"/>
      <c r="H26" s="16"/>
      <c r="I26" s="16" t="s">
        <v>613</v>
      </c>
    </row>
    <row r="27" spans="1:9" ht="45.75">
      <c r="A27" s="12" t="s">
        <v>381</v>
      </c>
      <c r="B27" s="13">
        <v>45243</v>
      </c>
      <c r="C27" s="12" t="s">
        <v>11</v>
      </c>
      <c r="D27" s="8" t="s">
        <v>598</v>
      </c>
      <c r="E27" s="106" t="s">
        <v>607</v>
      </c>
      <c r="F27" s="12" t="s">
        <v>608</v>
      </c>
      <c r="G27" s="10"/>
      <c r="H27" s="10"/>
      <c r="I27" s="217" t="s">
        <v>614</v>
      </c>
    </row>
    <row r="28" spans="1:9" ht="30.75" hidden="1">
      <c r="A28" s="53" t="s">
        <v>171</v>
      </c>
      <c r="B28" s="80">
        <v>45243</v>
      </c>
      <c r="C28" s="12" t="s">
        <v>22</v>
      </c>
      <c r="D28" s="97" t="s">
        <v>60</v>
      </c>
      <c r="E28" s="106" t="s">
        <v>577</v>
      </c>
      <c r="F28" s="202" t="s">
        <v>615</v>
      </c>
      <c r="G28" s="95"/>
      <c r="H28" s="70"/>
      <c r="I28" s="151" t="s">
        <v>597</v>
      </c>
    </row>
    <row r="29" spans="1:9" ht="60.75" hidden="1">
      <c r="A29" s="10" t="s">
        <v>492</v>
      </c>
      <c r="B29" s="212">
        <v>45243</v>
      </c>
      <c r="C29" s="12" t="s">
        <v>11</v>
      </c>
      <c r="D29" s="8" t="s">
        <v>598</v>
      </c>
      <c r="E29" s="10" t="s">
        <v>616</v>
      </c>
      <c r="F29" s="10"/>
      <c r="G29" s="10"/>
      <c r="H29" s="10"/>
      <c r="I29" s="22" t="s">
        <v>617</v>
      </c>
    </row>
    <row r="30" spans="1:9" ht="60.75">
      <c r="A30" s="12" t="s">
        <v>381</v>
      </c>
      <c r="B30" s="13">
        <v>45244</v>
      </c>
      <c r="C30" s="12" t="s">
        <v>11</v>
      </c>
      <c r="D30" s="8" t="s">
        <v>598</v>
      </c>
      <c r="E30" s="31" t="s">
        <v>618</v>
      </c>
      <c r="F30" s="12" t="s">
        <v>608</v>
      </c>
      <c r="G30" s="10"/>
      <c r="H30" s="10"/>
      <c r="I30" s="217" t="s">
        <v>619</v>
      </c>
    </row>
    <row r="31" spans="1:9" ht="30.75" hidden="1">
      <c r="A31" s="53" t="s">
        <v>171</v>
      </c>
      <c r="B31" s="80">
        <v>45243</v>
      </c>
      <c r="C31" s="12" t="s">
        <v>22</v>
      </c>
      <c r="D31" s="97" t="s">
        <v>60</v>
      </c>
      <c r="E31" s="106" t="s">
        <v>577</v>
      </c>
      <c r="F31" s="202" t="s">
        <v>620</v>
      </c>
      <c r="G31" s="95"/>
      <c r="H31" s="70"/>
      <c r="I31" s="151" t="s">
        <v>597</v>
      </c>
    </row>
    <row r="32" spans="1:9" ht="76.5" hidden="1">
      <c r="A32" s="16" t="s">
        <v>492</v>
      </c>
      <c r="B32" s="133">
        <v>45244</v>
      </c>
      <c r="C32" s="167" t="s">
        <v>621</v>
      </c>
      <c r="D32" s="16" t="s">
        <v>12</v>
      </c>
      <c r="E32" s="16" t="s">
        <v>563</v>
      </c>
      <c r="F32" s="22" t="s">
        <v>622</v>
      </c>
      <c r="G32" s="10">
        <v>5</v>
      </c>
      <c r="H32" s="10"/>
      <c r="I32" s="16" t="s">
        <v>623</v>
      </c>
    </row>
    <row r="33" spans="1:9" ht="30.75" hidden="1">
      <c r="A33" s="53" t="s">
        <v>171</v>
      </c>
      <c r="B33" s="80">
        <v>45245</v>
      </c>
      <c r="C33" s="12" t="s">
        <v>22</v>
      </c>
      <c r="D33" s="97" t="s">
        <v>60</v>
      </c>
      <c r="E33" s="106" t="s">
        <v>577</v>
      </c>
      <c r="F33" s="202" t="s">
        <v>624</v>
      </c>
      <c r="G33" s="95"/>
      <c r="H33" s="70"/>
      <c r="I33" s="151" t="s">
        <v>597</v>
      </c>
    </row>
    <row r="34" spans="1:9" ht="60.75">
      <c r="A34" s="12" t="s">
        <v>381</v>
      </c>
      <c r="B34" s="13">
        <v>45245</v>
      </c>
      <c r="C34" s="12" t="s">
        <v>11</v>
      </c>
      <c r="D34" s="8" t="s">
        <v>598</v>
      </c>
      <c r="E34" s="31" t="s">
        <v>625</v>
      </c>
      <c r="F34" s="8" t="s">
        <v>626</v>
      </c>
      <c r="G34" s="10"/>
      <c r="H34" s="10"/>
      <c r="I34" s="217" t="s">
        <v>627</v>
      </c>
    </row>
    <row r="35" spans="1:9" ht="60.75" hidden="1">
      <c r="A35" s="10" t="s">
        <v>492</v>
      </c>
      <c r="B35" s="212">
        <v>45245</v>
      </c>
      <c r="C35" s="12" t="s">
        <v>11</v>
      </c>
      <c r="D35" s="8" t="s">
        <v>598</v>
      </c>
      <c r="E35" s="132" t="s">
        <v>628</v>
      </c>
      <c r="F35" s="12" t="s">
        <v>608</v>
      </c>
      <c r="G35" s="10"/>
      <c r="H35" s="10"/>
      <c r="I35" s="22" t="s">
        <v>629</v>
      </c>
    </row>
    <row r="36" spans="1:9" ht="30.75" hidden="1">
      <c r="A36" s="53" t="s">
        <v>171</v>
      </c>
      <c r="B36" s="80">
        <v>45246</v>
      </c>
      <c r="C36" s="12" t="s">
        <v>22</v>
      </c>
      <c r="D36" s="97" t="s">
        <v>60</v>
      </c>
      <c r="E36" s="106" t="s">
        <v>577</v>
      </c>
      <c r="F36" s="202" t="s">
        <v>624</v>
      </c>
      <c r="G36" s="95"/>
      <c r="H36" s="70"/>
      <c r="I36" s="151" t="s">
        <v>630</v>
      </c>
    </row>
    <row r="37" spans="1:9" ht="60.75">
      <c r="A37" s="12" t="s">
        <v>381</v>
      </c>
      <c r="B37" s="13">
        <v>45246</v>
      </c>
      <c r="C37" s="12" t="s">
        <v>11</v>
      </c>
      <c r="D37" s="8" t="s">
        <v>598</v>
      </c>
      <c r="E37" s="31" t="s">
        <v>631</v>
      </c>
      <c r="F37" s="12" t="s">
        <v>632</v>
      </c>
      <c r="G37" s="10"/>
      <c r="H37" s="10"/>
      <c r="I37" s="217" t="s">
        <v>633</v>
      </c>
    </row>
    <row r="38" spans="1:9" ht="76.5" hidden="1">
      <c r="A38" s="296" t="s">
        <v>492</v>
      </c>
      <c r="B38" s="302">
        <v>45246</v>
      </c>
      <c r="C38" s="167" t="s">
        <v>621</v>
      </c>
      <c r="D38" s="16" t="s">
        <v>12</v>
      </c>
      <c r="E38" s="16" t="s">
        <v>563</v>
      </c>
      <c r="F38" s="22" t="s">
        <v>634</v>
      </c>
      <c r="G38" s="10">
        <v>2</v>
      </c>
      <c r="H38" s="10"/>
      <c r="I38" s="16" t="s">
        <v>623</v>
      </c>
    </row>
    <row r="39" spans="1:9" ht="45.75" hidden="1">
      <c r="A39" s="304"/>
      <c r="B39" s="305"/>
      <c r="C39" s="10" t="s">
        <v>635</v>
      </c>
      <c r="D39" s="10" t="s">
        <v>12</v>
      </c>
      <c r="E39" s="106" t="s">
        <v>636</v>
      </c>
      <c r="F39" s="12" t="s">
        <v>637</v>
      </c>
      <c r="G39" s="10"/>
      <c r="H39" s="10"/>
      <c r="I39" s="16" t="s">
        <v>19</v>
      </c>
    </row>
    <row r="40" spans="1:9" ht="21.75" customHeight="1">
      <c r="A40" s="12" t="s">
        <v>381</v>
      </c>
      <c r="B40" s="13">
        <v>45247</v>
      </c>
      <c r="C40" s="12" t="s">
        <v>11</v>
      </c>
      <c r="D40" s="8" t="s">
        <v>598</v>
      </c>
      <c r="E40" s="31" t="s">
        <v>638</v>
      </c>
      <c r="F40" s="8" t="s">
        <v>639</v>
      </c>
      <c r="G40" s="10"/>
      <c r="H40" s="10"/>
      <c r="I40" s="217" t="s">
        <v>640</v>
      </c>
    </row>
    <row r="41" spans="1:9" ht="54.75" customHeight="1">
      <c r="A41" s="53" t="s">
        <v>171</v>
      </c>
      <c r="B41" s="80">
        <v>45247</v>
      </c>
      <c r="C41" s="12" t="s">
        <v>22</v>
      </c>
      <c r="D41" s="97" t="s">
        <v>60</v>
      </c>
      <c r="E41" s="106" t="s">
        <v>577</v>
      </c>
      <c r="F41" s="202" t="s">
        <v>641</v>
      </c>
      <c r="G41" s="95"/>
      <c r="H41" s="70"/>
      <c r="I41" s="151" t="s">
        <v>630</v>
      </c>
    </row>
    <row r="42" spans="1:9" ht="20.25" customHeight="1">
      <c r="A42" s="10" t="s">
        <v>492</v>
      </c>
      <c r="B42" s="212">
        <v>45247</v>
      </c>
      <c r="C42" s="10" t="s">
        <v>635</v>
      </c>
      <c r="D42" s="10" t="s">
        <v>12</v>
      </c>
      <c r="E42" s="106" t="s">
        <v>636</v>
      </c>
      <c r="F42" s="8" t="s">
        <v>642</v>
      </c>
      <c r="G42" s="10">
        <v>2</v>
      </c>
      <c r="H42" s="10"/>
      <c r="I42" s="16" t="s">
        <v>38</v>
      </c>
    </row>
    <row r="43" spans="1:9" ht="27" customHeight="1">
      <c r="A43" s="10" t="s">
        <v>105</v>
      </c>
      <c r="B43" s="80">
        <v>45247</v>
      </c>
      <c r="C43" s="221" t="s">
        <v>643</v>
      </c>
      <c r="D43" s="8" t="s">
        <v>12</v>
      </c>
      <c r="E43" s="145" t="s">
        <v>644</v>
      </c>
      <c r="F43" s="132" t="s">
        <v>645</v>
      </c>
      <c r="G43" s="10"/>
      <c r="H43" s="10"/>
      <c r="I43" s="152"/>
    </row>
    <row r="44" spans="1:9" ht="60.75">
      <c r="A44" s="12" t="s">
        <v>381</v>
      </c>
      <c r="B44" s="13">
        <v>45250</v>
      </c>
      <c r="C44" s="12" t="s">
        <v>11</v>
      </c>
      <c r="D44" s="8" t="s">
        <v>598</v>
      </c>
      <c r="E44" s="31" t="s">
        <v>638</v>
      </c>
      <c r="F44" s="8" t="s">
        <v>639</v>
      </c>
      <c r="G44" s="10"/>
      <c r="H44" s="10"/>
      <c r="I44" s="217" t="s">
        <v>646</v>
      </c>
    </row>
    <row r="45" spans="1:9" ht="30.75" hidden="1">
      <c r="A45" s="10" t="s">
        <v>105</v>
      </c>
      <c r="B45" s="80">
        <v>45250</v>
      </c>
      <c r="C45" s="221" t="s">
        <v>643</v>
      </c>
      <c r="D45" s="8" t="s">
        <v>12</v>
      </c>
      <c r="E45" s="145" t="s">
        <v>647</v>
      </c>
      <c r="F45" s="132" t="s">
        <v>648</v>
      </c>
      <c r="G45" s="10"/>
      <c r="H45" s="10"/>
      <c r="I45" s="152"/>
    </row>
    <row r="46" spans="1:9" hidden="1">
      <c r="A46" s="296" t="s">
        <v>492</v>
      </c>
      <c r="B46" s="302">
        <v>45250</v>
      </c>
      <c r="C46" s="167" t="s">
        <v>621</v>
      </c>
      <c r="D46" s="16" t="s">
        <v>12</v>
      </c>
      <c r="E46" s="16" t="s">
        <v>563</v>
      </c>
      <c r="F46" s="5" t="s">
        <v>649</v>
      </c>
      <c r="G46" s="10">
        <v>1</v>
      </c>
      <c r="H46" s="10"/>
      <c r="I46" s="16"/>
    </row>
    <row r="47" spans="1:9" ht="30.75" hidden="1">
      <c r="A47" s="304"/>
      <c r="B47" s="305"/>
      <c r="C47" s="10" t="s">
        <v>635</v>
      </c>
      <c r="D47" s="10" t="s">
        <v>12</v>
      </c>
      <c r="E47" t="s">
        <v>650</v>
      </c>
      <c r="F47" s="106" t="s">
        <v>651</v>
      </c>
      <c r="G47" s="10">
        <v>1</v>
      </c>
      <c r="H47" s="10"/>
      <c r="I47" s="16" t="s">
        <v>19</v>
      </c>
    </row>
    <row r="48" spans="1:9" ht="45.75">
      <c r="A48" s="12" t="s">
        <v>381</v>
      </c>
      <c r="B48" s="13">
        <v>45251</v>
      </c>
      <c r="C48" s="12" t="s">
        <v>11</v>
      </c>
      <c r="D48" s="8" t="s">
        <v>598</v>
      </c>
      <c r="E48" s="31" t="s">
        <v>638</v>
      </c>
      <c r="F48" s="8" t="s">
        <v>639</v>
      </c>
      <c r="G48" s="10"/>
      <c r="H48" s="10"/>
      <c r="I48" s="217" t="s">
        <v>652</v>
      </c>
    </row>
    <row r="49" spans="1:10" ht="30.75" hidden="1">
      <c r="A49" s="53" t="s">
        <v>171</v>
      </c>
      <c r="B49" s="80">
        <v>45251</v>
      </c>
      <c r="C49" s="12" t="s">
        <v>22</v>
      </c>
      <c r="D49" s="97" t="s">
        <v>60</v>
      </c>
      <c r="E49" s="106" t="s">
        <v>577</v>
      </c>
      <c r="F49" s="202" t="s">
        <v>641</v>
      </c>
      <c r="G49" s="95"/>
      <c r="H49" s="70"/>
      <c r="I49" s="151" t="s">
        <v>630</v>
      </c>
    </row>
    <row r="50" spans="1:10" ht="30.75" hidden="1">
      <c r="A50" s="10" t="s">
        <v>105</v>
      </c>
      <c r="B50" s="80">
        <v>45251</v>
      </c>
      <c r="C50" s="221" t="s">
        <v>643</v>
      </c>
      <c r="D50" s="8" t="s">
        <v>12</v>
      </c>
      <c r="E50" s="145" t="s">
        <v>653</v>
      </c>
      <c r="F50" s="132" t="s">
        <v>648</v>
      </c>
      <c r="G50" s="10"/>
      <c r="H50" s="10"/>
      <c r="I50" s="152"/>
    </row>
    <row r="51" spans="1:10" hidden="1">
      <c r="A51" s="296" t="s">
        <v>492</v>
      </c>
      <c r="B51" s="302">
        <v>45251</v>
      </c>
      <c r="C51" s="167" t="s">
        <v>621</v>
      </c>
      <c r="D51" s="16" t="s">
        <v>12</v>
      </c>
      <c r="E51" s="16" t="s">
        <v>563</v>
      </c>
      <c r="F51" s="5" t="s">
        <v>654</v>
      </c>
      <c r="G51" s="10">
        <v>1</v>
      </c>
      <c r="H51" s="10"/>
      <c r="I51" s="16" t="s">
        <v>38</v>
      </c>
    </row>
    <row r="52" spans="1:10" hidden="1">
      <c r="A52" s="304"/>
      <c r="B52" s="305"/>
      <c r="C52" s="144" t="s">
        <v>635</v>
      </c>
      <c r="D52" s="144" t="s">
        <v>12</v>
      </c>
      <c r="E52" t="s">
        <v>650</v>
      </c>
      <c r="F52" s="106" t="s">
        <v>655</v>
      </c>
      <c r="G52" s="144"/>
      <c r="H52" s="144"/>
      <c r="I52" s="70" t="s">
        <v>38</v>
      </c>
    </row>
    <row r="53" spans="1:10" ht="45.75">
      <c r="A53" s="53" t="s">
        <v>381</v>
      </c>
      <c r="B53" s="222">
        <v>45252</v>
      </c>
      <c r="C53" s="53" t="s">
        <v>11</v>
      </c>
      <c r="D53" s="106" t="s">
        <v>598</v>
      </c>
      <c r="E53" s="31" t="s">
        <v>656</v>
      </c>
      <c r="F53" s="106" t="s">
        <v>657</v>
      </c>
      <c r="G53" s="144"/>
      <c r="H53" s="144"/>
      <c r="I53" s="223" t="s">
        <v>658</v>
      </c>
    </row>
    <row r="54" spans="1:10" ht="30.75" hidden="1">
      <c r="A54" s="12" t="s">
        <v>171</v>
      </c>
      <c r="B54" s="13">
        <v>45252</v>
      </c>
      <c r="C54" s="12" t="s">
        <v>22</v>
      </c>
      <c r="D54" s="8" t="s">
        <v>60</v>
      </c>
      <c r="E54" s="8" t="s">
        <v>577</v>
      </c>
      <c r="F54" s="8" t="s">
        <v>659</v>
      </c>
      <c r="G54" s="16"/>
      <c r="H54" s="16"/>
      <c r="I54" s="22" t="s">
        <v>660</v>
      </c>
    </row>
    <row r="55" spans="1:10" ht="30.75" hidden="1">
      <c r="A55" s="10" t="s">
        <v>105</v>
      </c>
      <c r="B55" s="80">
        <v>45252</v>
      </c>
      <c r="C55" s="221" t="s">
        <v>643</v>
      </c>
      <c r="D55" s="8" t="s">
        <v>12</v>
      </c>
      <c r="E55" s="145" t="s">
        <v>653</v>
      </c>
      <c r="F55" s="132" t="s">
        <v>648</v>
      </c>
      <c r="G55" s="10"/>
      <c r="H55" s="10"/>
      <c r="I55" s="152" t="s">
        <v>38</v>
      </c>
    </row>
    <row r="56" spans="1:10" ht="30.75" hidden="1">
      <c r="A56" s="296" t="s">
        <v>492</v>
      </c>
      <c r="B56" s="302">
        <v>45252</v>
      </c>
      <c r="C56" s="167" t="s">
        <v>661</v>
      </c>
      <c r="D56" s="16" t="s">
        <v>12</v>
      </c>
      <c r="E56" s="16" t="s">
        <v>563</v>
      </c>
      <c r="F56" s="5" t="s">
        <v>662</v>
      </c>
      <c r="G56" s="10">
        <v>1</v>
      </c>
      <c r="H56" s="10"/>
      <c r="I56" s="16" t="s">
        <v>663</v>
      </c>
    </row>
    <row r="57" spans="1:10" hidden="1">
      <c r="A57" s="297"/>
      <c r="B57" s="303"/>
      <c r="C57" s="144" t="s">
        <v>562</v>
      </c>
      <c r="D57" s="144" t="s">
        <v>12</v>
      </c>
      <c r="E57" t="s">
        <v>664</v>
      </c>
      <c r="F57" s="106" t="s">
        <v>665</v>
      </c>
      <c r="G57" s="144"/>
      <c r="H57" s="144"/>
      <c r="I57" s="70" t="s">
        <v>666</v>
      </c>
    </row>
    <row r="58" spans="1:10" ht="76.5">
      <c r="A58" s="12" t="s">
        <v>381</v>
      </c>
      <c r="B58" s="13">
        <v>45253</v>
      </c>
      <c r="C58" s="12" t="s">
        <v>11</v>
      </c>
      <c r="D58" s="8" t="s">
        <v>598</v>
      </c>
      <c r="E58" s="14" t="s">
        <v>667</v>
      </c>
      <c r="F58" s="8" t="s">
        <v>668</v>
      </c>
      <c r="G58" s="10"/>
      <c r="H58" s="10"/>
      <c r="I58" s="217" t="s">
        <v>669</v>
      </c>
    </row>
    <row r="59" spans="1:10" ht="45.75" hidden="1">
      <c r="A59" s="12" t="s">
        <v>171</v>
      </c>
      <c r="B59" s="13">
        <v>45253</v>
      </c>
      <c r="C59" s="12" t="s">
        <v>22</v>
      </c>
      <c r="D59" s="8" t="s">
        <v>60</v>
      </c>
      <c r="E59" s="8" t="s">
        <v>577</v>
      </c>
      <c r="F59" s="8" t="s">
        <v>670</v>
      </c>
      <c r="G59" s="16"/>
      <c r="H59" s="16"/>
      <c r="I59" s="22" t="s">
        <v>671</v>
      </c>
    </row>
    <row r="60" spans="1:10" ht="45.75" hidden="1">
      <c r="A60" s="10" t="s">
        <v>492</v>
      </c>
      <c r="B60" s="212">
        <v>45253</v>
      </c>
      <c r="C60" s="10" t="s">
        <v>11</v>
      </c>
      <c r="D60" s="8" t="s">
        <v>598</v>
      </c>
      <c r="E60" t="s">
        <v>668</v>
      </c>
      <c r="F60" s="132" t="s">
        <v>672</v>
      </c>
      <c r="G60" s="10"/>
      <c r="H60" s="10"/>
      <c r="I60" s="1" t="s">
        <v>673</v>
      </c>
    </row>
    <row r="61" spans="1:10" ht="45.75" hidden="1">
      <c r="A61" s="10" t="s">
        <v>105</v>
      </c>
      <c r="B61" s="80">
        <v>45253</v>
      </c>
      <c r="C61" s="221" t="s">
        <v>643</v>
      </c>
      <c r="D61" s="8" t="s">
        <v>12</v>
      </c>
      <c r="E61" s="145" t="s">
        <v>674</v>
      </c>
      <c r="F61" s="132" t="s">
        <v>675</v>
      </c>
      <c r="G61" s="10"/>
      <c r="H61" s="10"/>
      <c r="I61" s="152" t="s">
        <v>19</v>
      </c>
    </row>
    <row r="62" spans="1:10" ht="60.75">
      <c r="A62" s="12" t="s">
        <v>381</v>
      </c>
      <c r="B62" s="13">
        <v>45254</v>
      </c>
      <c r="C62" s="12" t="s">
        <v>11</v>
      </c>
      <c r="D62" s="8" t="s">
        <v>598</v>
      </c>
      <c r="E62" s="14" t="s">
        <v>667</v>
      </c>
      <c r="F62" s="8" t="s">
        <v>668</v>
      </c>
      <c r="G62" s="10"/>
      <c r="H62" s="10"/>
      <c r="I62" s="217" t="s">
        <v>676</v>
      </c>
    </row>
    <row r="63" spans="1:10" ht="45.75" hidden="1">
      <c r="A63" s="53" t="s">
        <v>171</v>
      </c>
      <c r="B63" s="80">
        <v>45254</v>
      </c>
      <c r="C63" s="53" t="s">
        <v>22</v>
      </c>
      <c r="D63" s="106" t="s">
        <v>60</v>
      </c>
      <c r="E63" s="106" t="s">
        <v>577</v>
      </c>
      <c r="F63" s="106" t="s">
        <v>670</v>
      </c>
      <c r="G63" s="70"/>
      <c r="H63" s="70"/>
      <c r="I63" s="151" t="s">
        <v>677</v>
      </c>
    </row>
    <row r="64" spans="1:10" ht="30.75" hidden="1">
      <c r="A64" s="322" t="s">
        <v>90</v>
      </c>
      <c r="B64" s="316">
        <v>45254</v>
      </c>
      <c r="C64" s="322" t="s">
        <v>18</v>
      </c>
      <c r="D64" s="320" t="s">
        <v>598</v>
      </c>
      <c r="E64" s="322" t="s">
        <v>678</v>
      </c>
      <c r="F64" s="8" t="s">
        <v>651</v>
      </c>
      <c r="G64" s="10">
        <v>0.5</v>
      </c>
      <c r="H64" s="10"/>
      <c r="I64" s="16" t="s">
        <v>679</v>
      </c>
      <c r="J64" s="10"/>
    </row>
    <row r="65" spans="1:10" hidden="1">
      <c r="A65" s="322"/>
      <c r="B65" s="316"/>
      <c r="C65" s="322"/>
      <c r="D65" s="320"/>
      <c r="E65" s="322"/>
      <c r="F65" s="141" t="s">
        <v>680</v>
      </c>
      <c r="G65" s="10"/>
      <c r="H65" s="10"/>
      <c r="I65" s="70" t="s">
        <v>681</v>
      </c>
      <c r="J65" s="144"/>
    </row>
    <row r="66" spans="1:10" ht="45.75" hidden="1">
      <c r="A66" s="10" t="s">
        <v>105</v>
      </c>
      <c r="B66" s="80">
        <v>45254</v>
      </c>
      <c r="C66" s="221" t="s">
        <v>643</v>
      </c>
      <c r="D66" s="8" t="s">
        <v>12</v>
      </c>
      <c r="E66" s="145" t="s">
        <v>674</v>
      </c>
      <c r="F66" s="132" t="s">
        <v>675</v>
      </c>
      <c r="G66" s="10"/>
      <c r="H66" s="38"/>
      <c r="I66" s="16" t="s">
        <v>38</v>
      </c>
      <c r="J66" s="10"/>
    </row>
    <row r="67" spans="1:10" ht="45.75" hidden="1">
      <c r="A67" s="53" t="s">
        <v>171</v>
      </c>
      <c r="B67" s="80">
        <v>45257</v>
      </c>
      <c r="C67" s="53" t="s">
        <v>11</v>
      </c>
      <c r="D67" s="106" t="s">
        <v>682</v>
      </c>
      <c r="E67" s="106" t="s">
        <v>683</v>
      </c>
      <c r="F67" s="106" t="s">
        <v>684</v>
      </c>
      <c r="G67" s="70"/>
      <c r="H67" s="70"/>
      <c r="I67" s="224" t="s">
        <v>685</v>
      </c>
      <c r="J67" s="71"/>
    </row>
    <row r="68" spans="1:10" ht="45.75">
      <c r="A68" s="12" t="s">
        <v>381</v>
      </c>
      <c r="B68" s="13">
        <v>45257</v>
      </c>
      <c r="C68" s="12" t="s">
        <v>11</v>
      </c>
      <c r="D68" s="106" t="s">
        <v>682</v>
      </c>
      <c r="E68" s="106" t="s">
        <v>683</v>
      </c>
      <c r="F68" s="8" t="s">
        <v>686</v>
      </c>
      <c r="G68" s="10"/>
      <c r="H68" s="10"/>
      <c r="I68" s="216" t="s">
        <v>687</v>
      </c>
      <c r="J68" s="10"/>
    </row>
    <row r="69" spans="1:10" ht="30.75" hidden="1">
      <c r="A69" s="10" t="s">
        <v>105</v>
      </c>
      <c r="B69" s="80">
        <v>45257</v>
      </c>
      <c r="C69" s="221" t="s">
        <v>643</v>
      </c>
      <c r="D69" s="8" t="s">
        <v>12</v>
      </c>
      <c r="E69" s="145" t="s">
        <v>621</v>
      </c>
      <c r="F69" s="132" t="s">
        <v>675</v>
      </c>
      <c r="G69" s="10"/>
      <c r="H69" s="38"/>
      <c r="I69" s="16" t="s">
        <v>19</v>
      </c>
      <c r="J69" s="10"/>
    </row>
    <row r="70" spans="1:10" ht="30.75" hidden="1">
      <c r="A70" s="322" t="s">
        <v>90</v>
      </c>
      <c r="B70" s="316">
        <v>45257</v>
      </c>
      <c r="C70" s="322" t="s">
        <v>18</v>
      </c>
      <c r="D70" s="320" t="s">
        <v>598</v>
      </c>
      <c r="E70" s="322" t="s">
        <v>678</v>
      </c>
      <c r="F70" s="8" t="s">
        <v>651</v>
      </c>
      <c r="G70" s="10">
        <v>0.5</v>
      </c>
      <c r="H70" s="10"/>
      <c r="I70" s="16" t="s">
        <v>688</v>
      </c>
      <c r="J70" s="10"/>
    </row>
    <row r="71" spans="1:10" ht="30.75" hidden="1">
      <c r="A71" s="322"/>
      <c r="B71" s="316"/>
      <c r="C71" s="322"/>
      <c r="D71" s="320"/>
      <c r="E71" s="322"/>
      <c r="F71" s="8" t="s">
        <v>689</v>
      </c>
      <c r="G71" s="10">
        <v>0.2</v>
      </c>
      <c r="H71" s="10"/>
      <c r="I71" s="70" t="s">
        <v>19</v>
      </c>
      <c r="J71" s="10"/>
    </row>
    <row r="72" spans="1:10" ht="31.5" hidden="1" customHeight="1">
      <c r="A72" s="10" t="s">
        <v>105</v>
      </c>
      <c r="B72" s="80">
        <v>45258</v>
      </c>
      <c r="C72" s="221" t="s">
        <v>643</v>
      </c>
      <c r="D72" s="8" t="s">
        <v>12</v>
      </c>
      <c r="E72" s="145" t="s">
        <v>621</v>
      </c>
      <c r="F72" s="227" t="s">
        <v>690</v>
      </c>
      <c r="G72" s="10"/>
      <c r="H72" s="10"/>
      <c r="I72" s="70" t="s">
        <v>38</v>
      </c>
      <c r="J72" s="10"/>
    </row>
    <row r="73" spans="1:10" ht="60.75">
      <c r="A73" s="12" t="s">
        <v>381</v>
      </c>
      <c r="B73" s="80">
        <v>45258</v>
      </c>
      <c r="C73" s="12" t="s">
        <v>11</v>
      </c>
      <c r="D73" s="106" t="s">
        <v>682</v>
      </c>
      <c r="E73" s="106" t="s">
        <v>683</v>
      </c>
      <c r="F73" s="8" t="s">
        <v>691</v>
      </c>
      <c r="G73" s="10"/>
      <c r="H73" s="38"/>
      <c r="I73" s="28" t="s">
        <v>692</v>
      </c>
      <c r="J73" s="143"/>
    </row>
    <row r="74" spans="1:10" ht="30.75" hidden="1">
      <c r="A74" s="53" t="s">
        <v>171</v>
      </c>
      <c r="B74" s="80">
        <v>45258</v>
      </c>
      <c r="C74" s="53" t="s">
        <v>11</v>
      </c>
      <c r="D74" s="106" t="s">
        <v>682</v>
      </c>
      <c r="E74" s="106" t="s">
        <v>683</v>
      </c>
      <c r="F74" s="106" t="s">
        <v>693</v>
      </c>
      <c r="G74" s="70"/>
      <c r="H74" s="228"/>
      <c r="I74" s="22" t="s">
        <v>694</v>
      </c>
      <c r="J74" s="143"/>
    </row>
    <row r="75" spans="1:10" ht="45.75" hidden="1">
      <c r="A75" s="322" t="s">
        <v>90</v>
      </c>
      <c r="B75" s="316">
        <v>45258</v>
      </c>
      <c r="C75" s="322" t="s">
        <v>695</v>
      </c>
      <c r="D75" s="320" t="s">
        <v>598</v>
      </c>
      <c r="E75" s="322" t="s">
        <v>678</v>
      </c>
      <c r="F75" s="8" t="s">
        <v>651</v>
      </c>
      <c r="G75" s="10">
        <v>1</v>
      </c>
      <c r="H75" s="10"/>
      <c r="I75" s="22" t="s">
        <v>696</v>
      </c>
      <c r="J75" s="10"/>
    </row>
    <row r="76" spans="1:10" ht="45.75" hidden="1">
      <c r="A76" s="322"/>
      <c r="B76" s="316"/>
      <c r="C76" s="322"/>
      <c r="D76" s="320"/>
      <c r="E76" s="322"/>
      <c r="F76" s="8" t="s">
        <v>691</v>
      </c>
      <c r="G76" s="10"/>
      <c r="H76" s="10"/>
      <c r="I76" s="151" t="s">
        <v>697</v>
      </c>
      <c r="J76" s="10"/>
    </row>
    <row r="77" spans="1:10" hidden="1">
      <c r="A77" s="10" t="s">
        <v>105</v>
      </c>
      <c r="B77" s="80">
        <v>45259</v>
      </c>
      <c r="C77" s="221" t="s">
        <v>643</v>
      </c>
      <c r="D77" s="8" t="s">
        <v>12</v>
      </c>
      <c r="E77" s="145" t="s">
        <v>621</v>
      </c>
      <c r="F77" s="229" t="s">
        <v>698</v>
      </c>
      <c r="G77" s="10"/>
      <c r="H77" s="10"/>
      <c r="I77" s="70" t="s">
        <v>38</v>
      </c>
      <c r="J77" s="10"/>
    </row>
    <row r="78" spans="1:10" ht="30.75" hidden="1">
      <c r="A78" s="53" t="s">
        <v>171</v>
      </c>
      <c r="B78" s="80">
        <v>45259</v>
      </c>
      <c r="C78" s="53" t="s">
        <v>11</v>
      </c>
      <c r="D78" s="106" t="s">
        <v>682</v>
      </c>
      <c r="E78" s="106" t="s">
        <v>683</v>
      </c>
      <c r="F78" s="106" t="s">
        <v>699</v>
      </c>
      <c r="G78" s="70"/>
      <c r="H78" s="228"/>
      <c r="I78" s="22" t="s">
        <v>694</v>
      </c>
      <c r="J78" s="10"/>
    </row>
    <row r="79" spans="1:10" ht="45.75">
      <c r="A79" s="53" t="s">
        <v>381</v>
      </c>
      <c r="B79" s="80">
        <v>45259</v>
      </c>
      <c r="C79" s="53" t="s">
        <v>11</v>
      </c>
      <c r="D79" s="106" t="s">
        <v>682</v>
      </c>
      <c r="E79" s="97" t="s">
        <v>683</v>
      </c>
      <c r="F79" s="8" t="s">
        <v>700</v>
      </c>
      <c r="G79" s="231"/>
      <c r="H79" s="232"/>
      <c r="I79" s="233" t="s">
        <v>701</v>
      </c>
      <c r="J79" s="144"/>
    </row>
    <row r="80" spans="1:10" ht="39" hidden="1" customHeight="1">
      <c r="A80" s="10" t="s">
        <v>105</v>
      </c>
      <c r="B80" s="13">
        <v>45260</v>
      </c>
      <c r="C80" s="230" t="s">
        <v>643</v>
      </c>
      <c r="D80" s="8" t="s">
        <v>12</v>
      </c>
      <c r="E80" s="236" t="s">
        <v>621</v>
      </c>
      <c r="F80" s="235" t="s">
        <v>702</v>
      </c>
      <c r="G80" s="143"/>
      <c r="H80" s="10"/>
      <c r="I80" s="70" t="s">
        <v>19</v>
      </c>
      <c r="J80" s="10"/>
    </row>
    <row r="81" spans="1:10" ht="33.75" hidden="1" customHeight="1">
      <c r="A81" s="10" t="s">
        <v>105</v>
      </c>
      <c r="B81" s="13">
        <v>45259</v>
      </c>
      <c r="C81" s="230" t="s">
        <v>643</v>
      </c>
      <c r="D81" s="8" t="s">
        <v>12</v>
      </c>
      <c r="E81" s="236" t="s">
        <v>621</v>
      </c>
      <c r="F81" s="86"/>
      <c r="G81" s="143">
        <v>1</v>
      </c>
      <c r="H81" s="10"/>
      <c r="I81" s="22" t="s">
        <v>703</v>
      </c>
      <c r="J81" s="10"/>
    </row>
    <row r="82" spans="1:10" hidden="1">
      <c r="A82" s="144"/>
      <c r="B82" s="144"/>
      <c r="C82" s="144"/>
      <c r="D82" s="144"/>
      <c r="E82" s="232"/>
      <c r="F82" s="10"/>
      <c r="G82" s="231"/>
      <c r="H82" s="10"/>
      <c r="I82" s="16"/>
      <c r="J82" s="10"/>
    </row>
    <row r="83" spans="1:10" ht="45.75">
      <c r="A83" s="53" t="s">
        <v>381</v>
      </c>
      <c r="B83" s="80">
        <v>45260</v>
      </c>
      <c r="C83" s="53" t="s">
        <v>11</v>
      </c>
      <c r="D83" s="106" t="s">
        <v>682</v>
      </c>
      <c r="E83" s="97" t="s">
        <v>683</v>
      </c>
      <c r="F83" s="8" t="s">
        <v>700</v>
      </c>
      <c r="G83" s="231"/>
      <c r="H83" s="234"/>
      <c r="I83" s="233" t="s">
        <v>704</v>
      </c>
      <c r="J83" s="144"/>
    </row>
    <row r="84" spans="1:10" ht="30.75" hidden="1">
      <c r="A84" s="12" t="s">
        <v>171</v>
      </c>
      <c r="B84" s="13">
        <v>45260</v>
      </c>
      <c r="C84" s="12" t="s">
        <v>11</v>
      </c>
      <c r="D84" s="8" t="s">
        <v>682</v>
      </c>
      <c r="E84" s="8" t="s">
        <v>683</v>
      </c>
      <c r="F84" s="140" t="s">
        <v>705</v>
      </c>
      <c r="G84" s="16"/>
      <c r="H84" s="16"/>
      <c r="I84" s="22" t="s">
        <v>694</v>
      </c>
      <c r="J84" s="143"/>
    </row>
    <row r="85" spans="1:10" hidden="1">
      <c r="A85" s="322" t="s">
        <v>90</v>
      </c>
      <c r="B85" s="316">
        <v>45259</v>
      </c>
      <c r="C85" s="322" t="s">
        <v>695</v>
      </c>
      <c r="D85" s="320" t="s">
        <v>598</v>
      </c>
      <c r="E85" s="322" t="s">
        <v>678</v>
      </c>
      <c r="F85" s="8" t="s">
        <v>651</v>
      </c>
      <c r="G85" s="10">
        <v>1</v>
      </c>
      <c r="H85" s="10"/>
      <c r="I85" s="22" t="s">
        <v>583</v>
      </c>
      <c r="J85" s="10"/>
    </row>
    <row r="86" spans="1:10" hidden="1">
      <c r="A86" s="322"/>
      <c r="B86" s="316"/>
      <c r="C86" s="322"/>
      <c r="D86" s="320"/>
      <c r="E86" s="322"/>
      <c r="F86" s="8" t="s">
        <v>689</v>
      </c>
      <c r="G86" s="10">
        <v>1</v>
      </c>
      <c r="H86" s="10"/>
      <c r="I86" s="151" t="s">
        <v>583</v>
      </c>
      <c r="J86" s="10"/>
    </row>
    <row r="87" spans="1:10" hidden="1">
      <c r="A87" s="322" t="s">
        <v>90</v>
      </c>
      <c r="B87" s="316">
        <v>45260</v>
      </c>
      <c r="C87" s="322" t="s">
        <v>11</v>
      </c>
      <c r="D87" s="320" t="s">
        <v>598</v>
      </c>
      <c r="E87" s="322" t="s">
        <v>706</v>
      </c>
      <c r="F87" s="300" t="s">
        <v>700</v>
      </c>
      <c r="G87" s="326"/>
      <c r="H87" s="328"/>
      <c r="I87" s="320" t="s">
        <v>707</v>
      </c>
      <c r="J87" s="143"/>
    </row>
    <row r="88" spans="1:10" hidden="1">
      <c r="A88" s="322"/>
      <c r="B88" s="316"/>
      <c r="C88" s="322"/>
      <c r="D88" s="320"/>
      <c r="E88" s="322"/>
      <c r="F88" s="301"/>
      <c r="G88" s="327"/>
      <c r="H88" s="329"/>
      <c r="I88" s="320"/>
      <c r="J88" s="143"/>
    </row>
  </sheetData>
  <autoFilter ref="A1:A88" xr:uid="{808C66C4-AEC4-452D-AF15-21129B34528E}">
    <filterColumn colId="0">
      <filters>
        <filter val="Anand"/>
      </filters>
    </filterColumn>
  </autoFilter>
  <mergeCells count="37">
    <mergeCell ref="F87:F88"/>
    <mergeCell ref="G87:G88"/>
    <mergeCell ref="H87:H88"/>
    <mergeCell ref="I87:I88"/>
    <mergeCell ref="A87:A88"/>
    <mergeCell ref="B87:B88"/>
    <mergeCell ref="C87:C88"/>
    <mergeCell ref="D87:D88"/>
    <mergeCell ref="E87:E88"/>
    <mergeCell ref="A85:A86"/>
    <mergeCell ref="B85:B86"/>
    <mergeCell ref="C85:C86"/>
    <mergeCell ref="D85:D86"/>
    <mergeCell ref="E85:E86"/>
    <mergeCell ref="A75:A76"/>
    <mergeCell ref="B75:B76"/>
    <mergeCell ref="C75:C76"/>
    <mergeCell ref="D75:D76"/>
    <mergeCell ref="E75:E76"/>
    <mergeCell ref="A70:A71"/>
    <mergeCell ref="B70:B71"/>
    <mergeCell ref="C70:C71"/>
    <mergeCell ref="D70:D71"/>
    <mergeCell ref="E70:E71"/>
    <mergeCell ref="A56:A57"/>
    <mergeCell ref="B56:B57"/>
    <mergeCell ref="A38:A39"/>
    <mergeCell ref="B38:B39"/>
    <mergeCell ref="A46:A47"/>
    <mergeCell ref="B46:B47"/>
    <mergeCell ref="A51:A52"/>
    <mergeCell ref="B51:B52"/>
    <mergeCell ref="A64:A65"/>
    <mergeCell ref="B64:B65"/>
    <mergeCell ref="C64:C65"/>
    <mergeCell ref="D64:D65"/>
    <mergeCell ref="E64:E6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D6433-5E5F-4866-BEC9-2688AD40788C}">
  <dimension ref="A1:J101"/>
  <sheetViews>
    <sheetView workbookViewId="0">
      <pane ySplit="1" topLeftCell="D84" activePane="bottomLeft" state="frozen"/>
      <selection pane="bottomLeft" activeCell="I61" sqref="I61"/>
    </sheetView>
  </sheetViews>
  <sheetFormatPr defaultRowHeight="15"/>
  <cols>
    <col min="1" max="1" width="9.140625" style="15"/>
    <col min="2" max="2" width="11.42578125" style="15" bestFit="1" customWidth="1"/>
    <col min="3" max="3" width="19.7109375" style="15" customWidth="1"/>
    <col min="4" max="4" width="27.140625" style="15" customWidth="1"/>
    <col min="5" max="5" width="25.42578125" style="241" customWidth="1"/>
    <col min="6" max="6" width="72.85546875" style="15" customWidth="1"/>
    <col min="7" max="7" width="11.28515625" style="15" customWidth="1"/>
    <col min="8" max="8" width="8.7109375" style="15" customWidth="1"/>
    <col min="9" max="9" width="49.42578125" style="15" bestFit="1" customWidth="1"/>
    <col min="10" max="16384" width="9.140625" style="15"/>
  </cols>
  <sheetData>
    <row r="1" spans="1:10" ht="30.75">
      <c r="A1" s="126" t="s">
        <v>84</v>
      </c>
      <c r="B1" s="126" t="s">
        <v>85</v>
      </c>
      <c r="C1" s="126" t="s">
        <v>86</v>
      </c>
      <c r="D1" s="126" t="s">
        <v>1</v>
      </c>
      <c r="E1" s="17" t="s">
        <v>2</v>
      </c>
      <c r="F1" s="237" t="s">
        <v>87</v>
      </c>
      <c r="G1" s="126" t="s">
        <v>88</v>
      </c>
      <c r="H1" s="126" t="s">
        <v>89</v>
      </c>
      <c r="I1" s="17" t="s">
        <v>10</v>
      </c>
    </row>
    <row r="2" spans="1:10" ht="106.5">
      <c r="A2" s="12" t="s">
        <v>171</v>
      </c>
      <c r="B2" s="13">
        <v>45261</v>
      </c>
      <c r="C2" s="12" t="s">
        <v>11</v>
      </c>
      <c r="D2" s="8" t="s">
        <v>682</v>
      </c>
      <c r="E2" s="14" t="s">
        <v>708</v>
      </c>
      <c r="F2" s="178" t="s">
        <v>709</v>
      </c>
      <c r="G2" s="16"/>
      <c r="H2" s="16"/>
      <c r="I2" s="22" t="s">
        <v>710</v>
      </c>
    </row>
    <row r="3" spans="1:10" ht="60.75">
      <c r="A3" s="12" t="s">
        <v>381</v>
      </c>
      <c r="B3" s="13">
        <v>45261</v>
      </c>
      <c r="C3" s="12" t="s">
        <v>11</v>
      </c>
      <c r="D3" s="8" t="s">
        <v>682</v>
      </c>
      <c r="E3" s="31" t="s">
        <v>683</v>
      </c>
      <c r="F3" s="151" t="s">
        <v>700</v>
      </c>
      <c r="G3" s="144"/>
      <c r="H3" s="144"/>
      <c r="I3" s="233" t="s">
        <v>711</v>
      </c>
    </row>
    <row r="4" spans="1:10" customFormat="1" ht="39" customHeight="1">
      <c r="A4" s="12" t="s">
        <v>105</v>
      </c>
      <c r="B4" s="13">
        <v>45261</v>
      </c>
      <c r="C4" s="230" t="s">
        <v>643</v>
      </c>
      <c r="D4" s="8" t="s">
        <v>682</v>
      </c>
      <c r="E4" s="14" t="s">
        <v>621</v>
      </c>
      <c r="F4" s="22" t="s">
        <v>702</v>
      </c>
      <c r="G4" s="10"/>
      <c r="H4" s="10"/>
      <c r="I4" s="16" t="s">
        <v>712</v>
      </c>
      <c r="J4" s="143"/>
    </row>
    <row r="5" spans="1:10">
      <c r="A5" s="322" t="s">
        <v>90</v>
      </c>
      <c r="B5" s="316">
        <v>45261</v>
      </c>
      <c r="C5" s="322" t="s">
        <v>18</v>
      </c>
      <c r="D5" s="330" t="s">
        <v>598</v>
      </c>
      <c r="E5" s="332" t="s">
        <v>678</v>
      </c>
      <c r="F5" s="238" t="s">
        <v>713</v>
      </c>
      <c r="G5" s="10"/>
      <c r="H5" s="10"/>
      <c r="I5" s="22" t="s">
        <v>714</v>
      </c>
    </row>
    <row r="6" spans="1:10">
      <c r="A6" s="326"/>
      <c r="B6" s="302"/>
      <c r="C6" s="326"/>
      <c r="D6" s="331"/>
      <c r="E6" s="332"/>
      <c r="F6" s="238" t="s">
        <v>715</v>
      </c>
      <c r="G6" s="10"/>
      <c r="H6" s="10"/>
      <c r="I6" s="22" t="s">
        <v>714</v>
      </c>
    </row>
    <row r="7" spans="1:10" ht="30.75">
      <c r="A7" s="12" t="s">
        <v>105</v>
      </c>
      <c r="B7" s="13">
        <v>45264</v>
      </c>
      <c r="C7" s="230" t="s">
        <v>643</v>
      </c>
      <c r="D7" s="8" t="s">
        <v>682</v>
      </c>
      <c r="E7" s="14" t="s">
        <v>621</v>
      </c>
      <c r="F7" s="239" t="s">
        <v>716</v>
      </c>
      <c r="G7" s="10"/>
      <c r="H7" s="10"/>
      <c r="I7" s="16" t="s">
        <v>717</v>
      </c>
    </row>
    <row r="8" spans="1:10" ht="45.75">
      <c r="A8" s="12" t="s">
        <v>381</v>
      </c>
      <c r="B8" s="13">
        <v>45264</v>
      </c>
      <c r="C8" s="12" t="s">
        <v>11</v>
      </c>
      <c r="D8" s="116" t="s">
        <v>682</v>
      </c>
      <c r="E8" s="14" t="s">
        <v>683</v>
      </c>
      <c r="F8" s="22" t="s">
        <v>718</v>
      </c>
      <c r="G8" s="10"/>
      <c r="H8" s="10"/>
      <c r="I8" s="28" t="s">
        <v>719</v>
      </c>
    </row>
    <row r="9" spans="1:10" ht="45.75">
      <c r="A9" s="12" t="s">
        <v>171</v>
      </c>
      <c r="B9" s="13">
        <v>45264</v>
      </c>
      <c r="C9" s="12" t="s">
        <v>11</v>
      </c>
      <c r="D9" s="8" t="s">
        <v>682</v>
      </c>
      <c r="E9" s="240" t="s">
        <v>708</v>
      </c>
      <c r="F9" s="178" t="s">
        <v>720</v>
      </c>
      <c r="G9" s="152"/>
      <c r="H9" s="152"/>
      <c r="I9" s="178" t="s">
        <v>721</v>
      </c>
    </row>
    <row r="10" spans="1:10" ht="30.75">
      <c r="A10" s="322" t="s">
        <v>90</v>
      </c>
      <c r="B10" s="316">
        <v>45264</v>
      </c>
      <c r="C10" s="322" t="s">
        <v>18</v>
      </c>
      <c r="D10" s="330" t="s">
        <v>598</v>
      </c>
      <c r="E10" s="332" t="s">
        <v>678</v>
      </c>
      <c r="F10" s="245" t="s">
        <v>722</v>
      </c>
      <c r="G10" s="10">
        <v>1</v>
      </c>
      <c r="H10" s="10"/>
      <c r="I10" s="22" t="s">
        <v>723</v>
      </c>
    </row>
    <row r="11" spans="1:10">
      <c r="A11" s="326"/>
      <c r="B11" s="302"/>
      <c r="C11" s="326"/>
      <c r="D11" s="331"/>
      <c r="E11" s="332"/>
      <c r="F11" s="245"/>
      <c r="G11" s="10"/>
      <c r="H11" s="10"/>
      <c r="I11" s="22"/>
    </row>
    <row r="12" spans="1:10" ht="30.75">
      <c r="A12" s="12" t="s">
        <v>105</v>
      </c>
      <c r="B12" s="13">
        <v>45265</v>
      </c>
      <c r="C12" s="230" t="s">
        <v>643</v>
      </c>
      <c r="D12" s="8" t="s">
        <v>682</v>
      </c>
      <c r="E12" s="242" t="s">
        <v>621</v>
      </c>
      <c r="F12" s="246" t="s">
        <v>724</v>
      </c>
      <c r="G12" s="143"/>
      <c r="H12" s="10"/>
      <c r="I12" s="16" t="s">
        <v>717</v>
      </c>
    </row>
    <row r="13" spans="1:10" ht="106.5">
      <c r="A13" s="12" t="s">
        <v>171</v>
      </c>
      <c r="B13" s="13">
        <v>45265</v>
      </c>
      <c r="C13" s="12" t="s">
        <v>11</v>
      </c>
      <c r="D13" s="8" t="s">
        <v>682</v>
      </c>
      <c r="E13" s="243" t="s">
        <v>708</v>
      </c>
      <c r="F13" s="22" t="s">
        <v>725</v>
      </c>
      <c r="G13" s="244"/>
      <c r="H13" s="152"/>
      <c r="I13" s="178" t="s">
        <v>726</v>
      </c>
    </row>
    <row r="14" spans="1:10" ht="60.75">
      <c r="A14" s="12" t="s">
        <v>381</v>
      </c>
      <c r="B14" s="13">
        <v>45265</v>
      </c>
      <c r="C14" s="12" t="s">
        <v>11</v>
      </c>
      <c r="D14" s="116" t="s">
        <v>682</v>
      </c>
      <c r="E14" s="113" t="s">
        <v>727</v>
      </c>
      <c r="F14" s="178" t="s">
        <v>728</v>
      </c>
      <c r="G14" s="16"/>
      <c r="H14" s="16"/>
      <c r="I14" s="22" t="s">
        <v>729</v>
      </c>
    </row>
    <row r="15" spans="1:10" ht="45.75">
      <c r="A15" s="16" t="s">
        <v>90</v>
      </c>
      <c r="B15" s="133">
        <v>45265</v>
      </c>
      <c r="C15" s="16" t="s">
        <v>18</v>
      </c>
      <c r="D15" s="116" t="s">
        <v>682</v>
      </c>
      <c r="E15" s="16" t="s">
        <v>678</v>
      </c>
      <c r="F15" s="178" t="s">
        <v>730</v>
      </c>
      <c r="G15" s="16">
        <v>1</v>
      </c>
      <c r="H15" s="16"/>
      <c r="I15" s="22" t="s">
        <v>731</v>
      </c>
    </row>
    <row r="16" spans="1:10" ht="45.75">
      <c r="A16" s="12" t="s">
        <v>171</v>
      </c>
      <c r="B16" s="13">
        <v>45266</v>
      </c>
      <c r="C16" s="12" t="s">
        <v>11</v>
      </c>
      <c r="D16" s="8" t="s">
        <v>682</v>
      </c>
      <c r="E16" s="243" t="s">
        <v>708</v>
      </c>
      <c r="F16" s="22" t="s">
        <v>732</v>
      </c>
      <c r="G16" s="244"/>
      <c r="H16" s="152"/>
      <c r="I16" s="178" t="s">
        <v>733</v>
      </c>
    </row>
    <row r="17" spans="1:9" ht="91.5">
      <c r="A17" s="12" t="s">
        <v>381</v>
      </c>
      <c r="B17" s="13">
        <v>45266</v>
      </c>
      <c r="C17" s="12" t="s">
        <v>18</v>
      </c>
      <c r="D17" s="116" t="s">
        <v>682</v>
      </c>
      <c r="E17" s="14" t="s">
        <v>734</v>
      </c>
      <c r="F17" s="178" t="s">
        <v>735</v>
      </c>
      <c r="G17" s="16"/>
      <c r="H17" s="16"/>
      <c r="I17" s="22" t="s">
        <v>736</v>
      </c>
    </row>
    <row r="18" spans="1:9" ht="76.5">
      <c r="A18" s="70" t="s">
        <v>90</v>
      </c>
      <c r="B18" s="247">
        <v>45266</v>
      </c>
      <c r="C18" s="70" t="s">
        <v>18</v>
      </c>
      <c r="D18" s="97" t="s">
        <v>682</v>
      </c>
      <c r="E18" s="70" t="s">
        <v>678</v>
      </c>
      <c r="F18" s="224" t="s">
        <v>737</v>
      </c>
      <c r="G18" s="70" t="s">
        <v>19</v>
      </c>
      <c r="H18" s="70" t="s">
        <v>738</v>
      </c>
      <c r="I18" s="151" t="s">
        <v>739</v>
      </c>
    </row>
    <row r="19" spans="1:9" ht="91.5">
      <c r="A19" s="12" t="s">
        <v>171</v>
      </c>
      <c r="B19" s="13">
        <v>45267</v>
      </c>
      <c r="C19" s="12" t="s">
        <v>22</v>
      </c>
      <c r="D19" s="8" t="s">
        <v>682</v>
      </c>
      <c r="E19" s="14" t="s">
        <v>708</v>
      </c>
      <c r="F19" s="22" t="s">
        <v>740</v>
      </c>
      <c r="G19" s="16"/>
      <c r="H19" s="16"/>
      <c r="I19" s="22" t="s">
        <v>741</v>
      </c>
    </row>
    <row r="20" spans="1:9" ht="45.75">
      <c r="A20" s="12" t="s">
        <v>381</v>
      </c>
      <c r="B20" s="13">
        <v>45267</v>
      </c>
      <c r="C20" s="12" t="s">
        <v>22</v>
      </c>
      <c r="D20" s="8" t="s">
        <v>682</v>
      </c>
      <c r="E20" s="14" t="s">
        <v>683</v>
      </c>
      <c r="F20" s="22" t="s">
        <v>742</v>
      </c>
      <c r="G20" s="10"/>
      <c r="H20" s="10"/>
      <c r="I20" s="28" t="s">
        <v>743</v>
      </c>
    </row>
    <row r="21" spans="1:9" ht="30.75">
      <c r="A21" s="12" t="s">
        <v>105</v>
      </c>
      <c r="B21" s="13">
        <v>45267</v>
      </c>
      <c r="C21" s="230" t="s">
        <v>643</v>
      </c>
      <c r="D21" s="8" t="s">
        <v>682</v>
      </c>
      <c r="E21" s="14" t="s">
        <v>621</v>
      </c>
      <c r="F21" s="248" t="s">
        <v>744</v>
      </c>
      <c r="G21" s="10"/>
      <c r="H21" s="10"/>
      <c r="I21" s="16" t="s">
        <v>717</v>
      </c>
    </row>
    <row r="22" spans="1:9" ht="30.75">
      <c r="A22" s="317" t="s">
        <v>90</v>
      </c>
      <c r="B22" s="316">
        <v>45267</v>
      </c>
      <c r="C22" s="317" t="s">
        <v>18</v>
      </c>
      <c r="D22" s="320" t="s">
        <v>682</v>
      </c>
      <c r="E22" s="317" t="s">
        <v>678</v>
      </c>
      <c r="F22" s="22" t="s">
        <v>737</v>
      </c>
      <c r="G22" s="317" t="s">
        <v>583</v>
      </c>
      <c r="H22" s="16">
        <v>1</v>
      </c>
      <c r="I22" s="16"/>
    </row>
    <row r="23" spans="1:9">
      <c r="A23" s="317"/>
      <c r="B23" s="316"/>
      <c r="C23" s="317"/>
      <c r="D23" s="320"/>
      <c r="E23" s="317"/>
      <c r="F23" s="16" t="s">
        <v>745</v>
      </c>
      <c r="G23" s="317"/>
      <c r="H23" s="16">
        <v>1</v>
      </c>
      <c r="I23" s="16"/>
    </row>
    <row r="24" spans="1:9" ht="45.75">
      <c r="A24" s="12" t="s">
        <v>171</v>
      </c>
      <c r="B24" s="13">
        <v>45268</v>
      </c>
      <c r="C24" s="12" t="s">
        <v>643</v>
      </c>
      <c r="D24" s="8" t="s">
        <v>682</v>
      </c>
      <c r="E24" s="14" t="s">
        <v>708</v>
      </c>
      <c r="F24" s="22" t="s">
        <v>746</v>
      </c>
      <c r="G24" s="16"/>
      <c r="H24" s="16"/>
      <c r="I24" s="22" t="s">
        <v>747</v>
      </c>
    </row>
    <row r="25" spans="1:9" ht="45.75">
      <c r="A25" s="12" t="s">
        <v>381</v>
      </c>
      <c r="B25" s="13">
        <v>45268</v>
      </c>
      <c r="C25" s="12" t="s">
        <v>22</v>
      </c>
      <c r="D25" s="8" t="s">
        <v>682</v>
      </c>
      <c r="E25" s="14" t="s">
        <v>748</v>
      </c>
      <c r="F25" s="16" t="s">
        <v>749</v>
      </c>
      <c r="G25" s="16"/>
      <c r="H25" s="16"/>
      <c r="I25" s="28" t="s">
        <v>750</v>
      </c>
    </row>
    <row r="26" spans="1:9" ht="30.75">
      <c r="A26" s="12" t="s">
        <v>105</v>
      </c>
      <c r="B26" s="13">
        <v>45268</v>
      </c>
      <c r="C26" s="230" t="s">
        <v>643</v>
      </c>
      <c r="D26" s="8" t="s">
        <v>682</v>
      </c>
      <c r="E26" s="14" t="s">
        <v>621</v>
      </c>
      <c r="F26" s="255" t="s">
        <v>751</v>
      </c>
      <c r="G26" s="10"/>
      <c r="H26" s="10"/>
      <c r="I26" s="16" t="s">
        <v>712</v>
      </c>
    </row>
    <row r="27" spans="1:9" ht="45.75">
      <c r="A27" s="16" t="s">
        <v>90</v>
      </c>
      <c r="B27" s="133">
        <v>45268</v>
      </c>
      <c r="C27" s="16" t="s">
        <v>11</v>
      </c>
      <c r="D27" s="22" t="s">
        <v>752</v>
      </c>
      <c r="E27" s="30" t="s">
        <v>563</v>
      </c>
      <c r="F27" s="256" t="s">
        <v>753</v>
      </c>
      <c r="G27" s="96">
        <v>1</v>
      </c>
      <c r="H27" s="16">
        <v>50</v>
      </c>
      <c r="I27" s="16" t="s">
        <v>754</v>
      </c>
    </row>
    <row r="28" spans="1:9" ht="91.5">
      <c r="A28" s="12" t="s">
        <v>171</v>
      </c>
      <c r="B28" s="13">
        <v>45271</v>
      </c>
      <c r="C28" s="8" t="s">
        <v>755</v>
      </c>
      <c r="D28" s="8" t="s">
        <v>682</v>
      </c>
      <c r="E28" s="14" t="s">
        <v>708</v>
      </c>
      <c r="F28" s="22" t="s">
        <v>756</v>
      </c>
      <c r="G28" s="16"/>
      <c r="H28" s="16"/>
      <c r="I28" s="22" t="s">
        <v>757</v>
      </c>
    </row>
    <row r="29" spans="1:9" ht="30.75">
      <c r="A29" s="16" t="s">
        <v>105</v>
      </c>
      <c r="B29" s="133">
        <v>45271</v>
      </c>
      <c r="C29" s="230" t="s">
        <v>643</v>
      </c>
      <c r="D29" s="8" t="s">
        <v>682</v>
      </c>
      <c r="E29" s="113" t="s">
        <v>758</v>
      </c>
      <c r="F29" s="257" t="s">
        <v>759</v>
      </c>
      <c r="G29" s="16"/>
      <c r="H29" s="16"/>
      <c r="I29" s="16" t="s">
        <v>717</v>
      </c>
    </row>
    <row r="30" spans="1:9" ht="106.5">
      <c r="A30" s="16" t="s">
        <v>90</v>
      </c>
      <c r="B30" s="133">
        <v>45271</v>
      </c>
      <c r="C30" s="16" t="s">
        <v>11</v>
      </c>
      <c r="D30" s="22" t="s">
        <v>752</v>
      </c>
      <c r="E30" s="30" t="s">
        <v>563</v>
      </c>
      <c r="F30" s="256" t="s">
        <v>760</v>
      </c>
      <c r="G30" s="96">
        <v>5</v>
      </c>
      <c r="H30" s="16">
        <v>300</v>
      </c>
      <c r="I30" s="16" t="s">
        <v>754</v>
      </c>
    </row>
    <row r="31" spans="1:9" ht="30.75" customHeight="1">
      <c r="A31" s="296" t="s">
        <v>105</v>
      </c>
      <c r="B31" s="302">
        <v>45272</v>
      </c>
      <c r="C31" s="336" t="s">
        <v>643</v>
      </c>
      <c r="D31" s="300" t="s">
        <v>682</v>
      </c>
      <c r="E31" s="334" t="s">
        <v>758</v>
      </c>
      <c r="F31" s="257" t="s">
        <v>759</v>
      </c>
      <c r="G31" s="16"/>
      <c r="H31" s="16"/>
      <c r="I31" s="16" t="s">
        <v>712</v>
      </c>
    </row>
    <row r="32" spans="1:9">
      <c r="A32" s="304"/>
      <c r="B32" s="305"/>
      <c r="C32" s="337"/>
      <c r="D32" s="301"/>
      <c r="E32" s="335"/>
      <c r="F32" s="16" t="s">
        <v>649</v>
      </c>
      <c r="G32" s="16"/>
      <c r="H32" s="16"/>
      <c r="I32" s="16" t="s">
        <v>761</v>
      </c>
    </row>
    <row r="33" spans="1:9" ht="60.75">
      <c r="A33" s="12" t="s">
        <v>381</v>
      </c>
      <c r="B33" s="13">
        <v>45272</v>
      </c>
      <c r="C33" s="12" t="s">
        <v>22</v>
      </c>
      <c r="D33" s="116" t="s">
        <v>682</v>
      </c>
      <c r="E33" s="12" t="s">
        <v>727</v>
      </c>
      <c r="F33" s="178" t="s">
        <v>762</v>
      </c>
      <c r="G33" s="16"/>
      <c r="H33" s="16"/>
      <c r="I33" s="22" t="s">
        <v>763</v>
      </c>
    </row>
    <row r="34" spans="1:9" ht="45.75">
      <c r="A34" s="12" t="s">
        <v>171</v>
      </c>
      <c r="B34" s="13">
        <v>45272</v>
      </c>
      <c r="C34" s="8" t="s">
        <v>18</v>
      </c>
      <c r="D34" s="8" t="s">
        <v>682</v>
      </c>
      <c r="E34" s="14" t="s">
        <v>708</v>
      </c>
      <c r="F34" s="22" t="s">
        <v>764</v>
      </c>
      <c r="G34" s="16"/>
      <c r="H34" s="16"/>
      <c r="I34" s="22" t="s">
        <v>765</v>
      </c>
    </row>
    <row r="35" spans="1:9" ht="152.25">
      <c r="A35" s="16" t="s">
        <v>90</v>
      </c>
      <c r="B35" s="133">
        <v>45272</v>
      </c>
      <c r="C35" s="16" t="s">
        <v>11</v>
      </c>
      <c r="D35" s="22" t="s">
        <v>752</v>
      </c>
      <c r="E35" s="30" t="s">
        <v>563</v>
      </c>
      <c r="F35" s="22" t="s">
        <v>766</v>
      </c>
      <c r="G35" s="16">
        <v>9</v>
      </c>
      <c r="H35" s="16"/>
      <c r="I35" s="16" t="s">
        <v>767</v>
      </c>
    </row>
    <row r="36" spans="1:9" ht="45.75">
      <c r="A36" s="12" t="s">
        <v>381</v>
      </c>
      <c r="B36" s="13">
        <v>45273</v>
      </c>
      <c r="C36" s="12" t="s">
        <v>22</v>
      </c>
      <c r="D36" s="8" t="s">
        <v>682</v>
      </c>
      <c r="E36" s="14" t="s">
        <v>748</v>
      </c>
      <c r="F36" s="22" t="s">
        <v>768</v>
      </c>
      <c r="G36" s="16"/>
      <c r="H36" s="16"/>
      <c r="I36" s="28" t="s">
        <v>769</v>
      </c>
    </row>
    <row r="37" spans="1:9" ht="45.75">
      <c r="A37" s="53" t="s">
        <v>171</v>
      </c>
      <c r="B37" s="80">
        <v>45273</v>
      </c>
      <c r="C37" s="12" t="s">
        <v>11</v>
      </c>
      <c r="D37" s="8" t="s">
        <v>770</v>
      </c>
      <c r="E37" s="14" t="s">
        <v>771</v>
      </c>
      <c r="F37" s="22" t="s">
        <v>772</v>
      </c>
      <c r="G37" s="16"/>
      <c r="H37" s="16"/>
      <c r="I37" s="28" t="s">
        <v>773</v>
      </c>
    </row>
    <row r="38" spans="1:9" ht="45.75">
      <c r="A38" s="296" t="s">
        <v>90</v>
      </c>
      <c r="B38" s="302">
        <v>45273</v>
      </c>
      <c r="C38" s="12" t="s">
        <v>22</v>
      </c>
      <c r="D38" s="8" t="s">
        <v>682</v>
      </c>
      <c r="E38" s="14" t="s">
        <v>748</v>
      </c>
      <c r="F38" s="22" t="s">
        <v>774</v>
      </c>
      <c r="G38" s="16"/>
      <c r="H38" s="16"/>
      <c r="I38" s="16" t="s">
        <v>775</v>
      </c>
    </row>
    <row r="39" spans="1:9" ht="15" customHeight="1">
      <c r="A39" s="297"/>
      <c r="B39" s="303"/>
      <c r="C39" s="258" t="s">
        <v>643</v>
      </c>
      <c r="D39" s="151" t="s">
        <v>682</v>
      </c>
      <c r="E39" s="228" t="s">
        <v>776</v>
      </c>
      <c r="F39" s="16" t="s">
        <v>649</v>
      </c>
      <c r="G39" s="16"/>
      <c r="H39" s="16"/>
      <c r="I39" s="16" t="s">
        <v>777</v>
      </c>
    </row>
    <row r="40" spans="1:9" ht="45.75">
      <c r="A40" s="297"/>
      <c r="B40" s="303"/>
      <c r="C40" s="296" t="s">
        <v>11</v>
      </c>
      <c r="D40" s="300" t="s">
        <v>752</v>
      </c>
      <c r="E40" s="334" t="s">
        <v>563</v>
      </c>
      <c r="F40" s="22" t="s">
        <v>778</v>
      </c>
      <c r="G40" s="16"/>
      <c r="H40" s="16"/>
      <c r="I40" s="16"/>
    </row>
    <row r="41" spans="1:9">
      <c r="A41" s="304"/>
      <c r="B41" s="305"/>
      <c r="C41" s="304"/>
      <c r="D41" s="301"/>
      <c r="E41" s="335"/>
      <c r="F41" s="253" t="s">
        <v>779</v>
      </c>
      <c r="G41" s="16"/>
      <c r="H41" s="16"/>
      <c r="I41" s="16" t="s">
        <v>780</v>
      </c>
    </row>
    <row r="42" spans="1:9" ht="76.5">
      <c r="A42" s="53" t="s">
        <v>171</v>
      </c>
      <c r="B42" s="80">
        <v>45274</v>
      </c>
      <c r="C42" s="12" t="s">
        <v>11</v>
      </c>
      <c r="D42" s="8" t="s">
        <v>770</v>
      </c>
      <c r="E42" s="14" t="s">
        <v>771</v>
      </c>
      <c r="F42" s="22" t="s">
        <v>781</v>
      </c>
      <c r="G42" s="16"/>
      <c r="H42" s="16"/>
      <c r="I42" s="28" t="s">
        <v>782</v>
      </c>
    </row>
    <row r="43" spans="1:9" ht="45.75">
      <c r="A43" s="12" t="s">
        <v>105</v>
      </c>
      <c r="B43" s="133">
        <v>45274</v>
      </c>
      <c r="C43" s="16" t="s">
        <v>643</v>
      </c>
      <c r="D43" s="8" t="s">
        <v>598</v>
      </c>
      <c r="E43" s="259" t="s">
        <v>683</v>
      </c>
      <c r="F43" s="16" t="s">
        <v>783</v>
      </c>
      <c r="G43" s="16"/>
      <c r="H43" s="16"/>
      <c r="I43" s="16" t="s">
        <v>712</v>
      </c>
    </row>
    <row r="44" spans="1:9" ht="60.75">
      <c r="A44" s="12" t="s">
        <v>381</v>
      </c>
      <c r="B44" s="133">
        <v>45274</v>
      </c>
      <c r="C44" s="12" t="s">
        <v>22</v>
      </c>
      <c r="D44" s="8" t="s">
        <v>682</v>
      </c>
      <c r="E44" s="14" t="s">
        <v>748</v>
      </c>
      <c r="F44" s="22" t="s">
        <v>784</v>
      </c>
      <c r="G44" s="16"/>
      <c r="H44" s="16"/>
      <c r="I44" s="28" t="s">
        <v>785</v>
      </c>
    </row>
    <row r="45" spans="1:9" ht="30.75">
      <c r="A45" s="296" t="s">
        <v>90</v>
      </c>
      <c r="B45" s="302">
        <v>45274</v>
      </c>
      <c r="C45" s="53" t="s">
        <v>11</v>
      </c>
      <c r="D45" s="106" t="s">
        <v>770</v>
      </c>
      <c r="E45" s="31" t="s">
        <v>771</v>
      </c>
      <c r="F45" s="44" t="s">
        <v>786</v>
      </c>
      <c r="G45" s="16" t="s">
        <v>304</v>
      </c>
      <c r="H45" s="16"/>
      <c r="I45" s="16" t="s">
        <v>787</v>
      </c>
    </row>
    <row r="46" spans="1:9">
      <c r="A46" s="304"/>
      <c r="B46" s="333"/>
      <c r="C46" s="16" t="s">
        <v>18</v>
      </c>
      <c r="D46" s="22" t="s">
        <v>752</v>
      </c>
      <c r="E46" s="16" t="s">
        <v>563</v>
      </c>
      <c r="F46" s="16" t="s">
        <v>788</v>
      </c>
      <c r="G46" s="16" t="s">
        <v>583</v>
      </c>
      <c r="H46" s="16"/>
      <c r="I46" s="16" t="s">
        <v>789</v>
      </c>
    </row>
    <row r="47" spans="1:9" ht="30.75">
      <c r="A47" s="16" t="s">
        <v>105</v>
      </c>
      <c r="B47" s="133">
        <v>45275</v>
      </c>
      <c r="C47" s="152" t="s">
        <v>11</v>
      </c>
      <c r="D47" s="178" t="s">
        <v>770</v>
      </c>
      <c r="E47" s="31" t="s">
        <v>771</v>
      </c>
      <c r="F47" s="16" t="s">
        <v>790</v>
      </c>
      <c r="G47" s="16" t="s">
        <v>304</v>
      </c>
      <c r="H47" s="16"/>
      <c r="I47" s="16" t="s">
        <v>791</v>
      </c>
    </row>
    <row r="48" spans="1:9" ht="45.75">
      <c r="A48" s="16" t="s">
        <v>381</v>
      </c>
      <c r="B48" s="133">
        <v>45275</v>
      </c>
      <c r="C48" s="152" t="s">
        <v>11</v>
      </c>
      <c r="D48" s="178" t="s">
        <v>770</v>
      </c>
      <c r="E48" s="31" t="s">
        <v>771</v>
      </c>
      <c r="F48" s="16" t="s">
        <v>792</v>
      </c>
      <c r="G48" s="16" t="s">
        <v>583</v>
      </c>
      <c r="H48" s="16"/>
      <c r="I48" s="28" t="s">
        <v>793</v>
      </c>
    </row>
    <row r="49" spans="1:9" ht="76.5">
      <c r="A49" s="53" t="s">
        <v>171</v>
      </c>
      <c r="B49" s="80">
        <v>45275</v>
      </c>
      <c r="C49" s="12" t="s">
        <v>11</v>
      </c>
      <c r="D49" s="8" t="s">
        <v>770</v>
      </c>
      <c r="E49" s="14" t="s">
        <v>771</v>
      </c>
      <c r="F49" s="22" t="s">
        <v>794</v>
      </c>
      <c r="G49" s="16"/>
      <c r="H49" s="16"/>
      <c r="I49" s="28" t="s">
        <v>795</v>
      </c>
    </row>
    <row r="50" spans="1:9" ht="30.75">
      <c r="A50" s="296" t="s">
        <v>90</v>
      </c>
      <c r="B50" s="302">
        <v>45275</v>
      </c>
      <c r="C50" s="53" t="s">
        <v>11</v>
      </c>
      <c r="D50" s="106" t="s">
        <v>770</v>
      </c>
      <c r="E50" s="31" t="s">
        <v>771</v>
      </c>
      <c r="F50" s="44" t="s">
        <v>779</v>
      </c>
      <c r="G50" s="16" t="s">
        <v>304</v>
      </c>
      <c r="H50" s="16"/>
      <c r="I50" s="16" t="s">
        <v>787</v>
      </c>
    </row>
    <row r="51" spans="1:9" ht="30.75">
      <c r="A51" s="304"/>
      <c r="B51" s="333"/>
      <c r="C51" s="53" t="s">
        <v>11</v>
      </c>
      <c r="D51" s="106" t="s">
        <v>770</v>
      </c>
      <c r="E51" s="31" t="s">
        <v>771</v>
      </c>
      <c r="F51" s="44" t="s">
        <v>786</v>
      </c>
      <c r="G51" s="16" t="s">
        <v>583</v>
      </c>
      <c r="H51" s="16"/>
      <c r="I51" s="16" t="s">
        <v>789</v>
      </c>
    </row>
    <row r="52" spans="1:9" ht="30.75">
      <c r="A52" s="16" t="s">
        <v>105</v>
      </c>
      <c r="B52" s="133">
        <v>45278</v>
      </c>
      <c r="C52" s="152" t="s">
        <v>11</v>
      </c>
      <c r="D52" s="178" t="s">
        <v>770</v>
      </c>
      <c r="E52" s="31" t="s">
        <v>771</v>
      </c>
      <c r="F52" s="16" t="s">
        <v>790</v>
      </c>
      <c r="G52" s="16" t="s">
        <v>583</v>
      </c>
      <c r="H52" s="16"/>
      <c r="I52" s="16" t="s">
        <v>712</v>
      </c>
    </row>
    <row r="53" spans="1:9" ht="45.75">
      <c r="A53" s="53" t="s">
        <v>171</v>
      </c>
      <c r="B53" s="80">
        <v>45278</v>
      </c>
      <c r="C53" s="12" t="s">
        <v>11</v>
      </c>
      <c r="D53" s="8" t="s">
        <v>770</v>
      </c>
      <c r="E53" s="14" t="s">
        <v>771</v>
      </c>
      <c r="F53" s="22" t="s">
        <v>796</v>
      </c>
      <c r="G53" s="16"/>
      <c r="H53" s="16"/>
      <c r="I53" s="28" t="s">
        <v>797</v>
      </c>
    </row>
    <row r="54" spans="1:9" ht="30.75">
      <c r="A54" s="53" t="s">
        <v>90</v>
      </c>
      <c r="B54" s="133">
        <v>45278</v>
      </c>
      <c r="C54" s="53" t="s">
        <v>11</v>
      </c>
      <c r="D54" s="106" t="s">
        <v>770</v>
      </c>
      <c r="E54" s="31" t="s">
        <v>771</v>
      </c>
      <c r="F54" s="44" t="s">
        <v>779</v>
      </c>
      <c r="G54" s="16" t="s">
        <v>583</v>
      </c>
      <c r="H54" s="16"/>
      <c r="I54" s="28" t="s">
        <v>798</v>
      </c>
    </row>
    <row r="55" spans="1:9" ht="30.75">
      <c r="A55" s="16" t="s">
        <v>105</v>
      </c>
      <c r="B55" s="133">
        <v>45279</v>
      </c>
      <c r="C55" s="16" t="s">
        <v>11</v>
      </c>
      <c r="D55" s="16" t="s">
        <v>770</v>
      </c>
      <c r="E55" s="14" t="s">
        <v>771</v>
      </c>
      <c r="F55" s="264" t="s">
        <v>799</v>
      </c>
      <c r="G55" s="16" t="s">
        <v>304</v>
      </c>
      <c r="H55" s="16"/>
      <c r="I55" s="16" t="s">
        <v>791</v>
      </c>
    </row>
    <row r="56" spans="1:9" ht="45.75" customHeight="1">
      <c r="A56" s="16" t="s">
        <v>381</v>
      </c>
      <c r="B56" s="133">
        <v>45279</v>
      </c>
      <c r="C56" s="152" t="s">
        <v>11</v>
      </c>
      <c r="D56" s="178" t="s">
        <v>770</v>
      </c>
      <c r="E56" s="31" t="s">
        <v>771</v>
      </c>
      <c r="F56" s="16" t="s">
        <v>788</v>
      </c>
      <c r="G56" s="16" t="s">
        <v>304</v>
      </c>
      <c r="H56" s="16"/>
      <c r="I56" s="216" t="s">
        <v>800</v>
      </c>
    </row>
    <row r="57" spans="1:9" ht="59.25" customHeight="1">
      <c r="A57" s="53" t="s">
        <v>171</v>
      </c>
      <c r="B57" s="80">
        <v>45279</v>
      </c>
      <c r="C57" s="12" t="s">
        <v>11</v>
      </c>
      <c r="D57" s="8" t="s">
        <v>770</v>
      </c>
      <c r="E57" s="14" t="s">
        <v>771</v>
      </c>
      <c r="F57" s="22" t="s">
        <v>801</v>
      </c>
      <c r="G57" s="16"/>
      <c r="H57" s="16"/>
      <c r="I57" s="225" t="s">
        <v>802</v>
      </c>
    </row>
    <row r="58" spans="1:9" ht="45.75">
      <c r="A58" s="53" t="s">
        <v>90</v>
      </c>
      <c r="B58" s="133">
        <v>45279</v>
      </c>
      <c r="C58" s="53" t="s">
        <v>11</v>
      </c>
      <c r="D58" s="106" t="s">
        <v>770</v>
      </c>
      <c r="E58" s="113" t="s">
        <v>803</v>
      </c>
      <c r="F58" s="22" t="s">
        <v>804</v>
      </c>
      <c r="G58" s="16"/>
      <c r="H58" s="16"/>
      <c r="I58" s="16"/>
    </row>
    <row r="59" spans="1:9">
      <c r="A59" s="16"/>
      <c r="B59" s="16"/>
      <c r="C59" s="16"/>
      <c r="D59" s="16" t="s">
        <v>805</v>
      </c>
      <c r="E59" s="113" t="s">
        <v>806</v>
      </c>
      <c r="F59" s="16" t="s">
        <v>807</v>
      </c>
      <c r="G59" s="16"/>
      <c r="H59" s="16"/>
      <c r="I59" s="16"/>
    </row>
    <row r="60" spans="1:9" ht="30.75">
      <c r="A60" s="16" t="s">
        <v>105</v>
      </c>
      <c r="B60" s="133">
        <v>45280</v>
      </c>
      <c r="C60" s="16" t="s">
        <v>11</v>
      </c>
      <c r="D60" s="16" t="s">
        <v>770</v>
      </c>
      <c r="E60" s="14" t="s">
        <v>771</v>
      </c>
      <c r="F60" s="264" t="s">
        <v>799</v>
      </c>
      <c r="G60" s="16" t="s">
        <v>583</v>
      </c>
      <c r="H60" s="16"/>
      <c r="I60" s="16"/>
    </row>
    <row r="61" spans="1:9" ht="63" customHeight="1">
      <c r="A61" s="70" t="s">
        <v>381</v>
      </c>
      <c r="B61" s="247">
        <v>45280</v>
      </c>
      <c r="C61" s="158" t="s">
        <v>11</v>
      </c>
      <c r="D61" s="224" t="s">
        <v>808</v>
      </c>
      <c r="E61" s="31" t="s">
        <v>809</v>
      </c>
      <c r="F61" s="70" t="s">
        <v>788</v>
      </c>
      <c r="G61" s="70" t="s">
        <v>583</v>
      </c>
      <c r="H61" s="70"/>
      <c r="I61" s="216" t="s">
        <v>810</v>
      </c>
    </row>
    <row r="62" spans="1:9" ht="91.5">
      <c r="A62" s="12" t="s">
        <v>171</v>
      </c>
      <c r="B62" s="13">
        <v>45280</v>
      </c>
      <c r="C62" s="12" t="s">
        <v>11</v>
      </c>
      <c r="D62" s="8" t="s">
        <v>770</v>
      </c>
      <c r="E62" s="14" t="s">
        <v>771</v>
      </c>
      <c r="F62" s="22" t="s">
        <v>811</v>
      </c>
      <c r="G62" s="16"/>
      <c r="H62" s="16"/>
      <c r="I62" s="225" t="s">
        <v>812</v>
      </c>
    </row>
    <row r="63" spans="1:9" ht="45.75">
      <c r="A63" s="16" t="s">
        <v>90</v>
      </c>
      <c r="B63" s="133">
        <v>45280</v>
      </c>
      <c r="C63" s="16" t="s">
        <v>11</v>
      </c>
      <c r="D63" s="16" t="s">
        <v>813</v>
      </c>
      <c r="E63" s="113" t="s">
        <v>814</v>
      </c>
      <c r="F63" s="22" t="s">
        <v>815</v>
      </c>
      <c r="G63" s="16"/>
      <c r="H63" s="16"/>
      <c r="I63" s="16" t="s">
        <v>816</v>
      </c>
    </row>
    <row r="64" spans="1:9" ht="30.75">
      <c r="A64" s="12" t="s">
        <v>171</v>
      </c>
      <c r="B64" s="13">
        <v>45281</v>
      </c>
      <c r="C64" s="12" t="s">
        <v>18</v>
      </c>
      <c r="D64" s="8" t="s">
        <v>817</v>
      </c>
      <c r="E64" s="14" t="s">
        <v>818</v>
      </c>
      <c r="F64" s="22" t="s">
        <v>819</v>
      </c>
      <c r="G64" s="16"/>
      <c r="H64" s="16"/>
      <c r="I64" s="225" t="s">
        <v>820</v>
      </c>
    </row>
    <row r="65" spans="1:9" ht="45.75">
      <c r="A65" s="53" t="s">
        <v>105</v>
      </c>
      <c r="B65" s="80">
        <v>45281</v>
      </c>
      <c r="C65" s="53" t="s">
        <v>821</v>
      </c>
      <c r="D65" s="106" t="s">
        <v>822</v>
      </c>
      <c r="E65" s="31" t="s">
        <v>771</v>
      </c>
      <c r="F65" s="151" t="s">
        <v>823</v>
      </c>
      <c r="G65" s="70"/>
      <c r="H65" s="70"/>
      <c r="I65" s="265" t="s">
        <v>824</v>
      </c>
    </row>
    <row r="66" spans="1:9">
      <c r="A66" s="16" t="s">
        <v>381</v>
      </c>
      <c r="B66" s="13">
        <v>45281</v>
      </c>
      <c r="C66" s="12" t="s">
        <v>22</v>
      </c>
      <c r="D66" s="16" t="s">
        <v>825</v>
      </c>
      <c r="E66" s="113" t="s">
        <v>814</v>
      </c>
      <c r="F66" s="16" t="s">
        <v>826</v>
      </c>
      <c r="G66" s="16"/>
      <c r="H66" s="16"/>
      <c r="I66" s="16" t="s">
        <v>827</v>
      </c>
    </row>
    <row r="67" spans="1:9">
      <c r="A67" s="16" t="s">
        <v>90</v>
      </c>
      <c r="B67" s="133">
        <v>45281</v>
      </c>
      <c r="C67" s="16"/>
      <c r="D67" s="16"/>
      <c r="E67" s="113"/>
      <c r="F67" s="16" t="s">
        <v>828</v>
      </c>
      <c r="G67" s="16"/>
      <c r="H67" s="16"/>
      <c r="I67" s="16"/>
    </row>
    <row r="68" spans="1:9">
      <c r="A68" s="16" t="s">
        <v>381</v>
      </c>
      <c r="B68" s="13">
        <v>45282</v>
      </c>
      <c r="C68" s="12" t="s">
        <v>18</v>
      </c>
      <c r="D68" s="16" t="s">
        <v>829</v>
      </c>
      <c r="E68" s="113" t="s">
        <v>830</v>
      </c>
      <c r="F68" s="16" t="s">
        <v>831</v>
      </c>
      <c r="G68" s="16"/>
      <c r="H68" s="16"/>
      <c r="I68" s="16" t="s">
        <v>832</v>
      </c>
    </row>
    <row r="69" spans="1:9" ht="76.5">
      <c r="A69" s="12" t="s">
        <v>171</v>
      </c>
      <c r="B69" s="13">
        <v>45282</v>
      </c>
      <c r="C69" s="12" t="s">
        <v>11</v>
      </c>
      <c r="D69" s="16" t="s">
        <v>833</v>
      </c>
      <c r="E69" s="14" t="s">
        <v>834</v>
      </c>
      <c r="F69" s="22" t="s">
        <v>835</v>
      </c>
      <c r="G69" s="16"/>
      <c r="H69" s="16"/>
      <c r="I69" s="225" t="s">
        <v>836</v>
      </c>
    </row>
    <row r="70" spans="1:9">
      <c r="A70" s="70" t="s">
        <v>90</v>
      </c>
      <c r="B70" s="247">
        <v>45282</v>
      </c>
      <c r="C70" s="70" t="s">
        <v>837</v>
      </c>
      <c r="D70" s="70" t="s">
        <v>838</v>
      </c>
      <c r="E70" s="159" t="s">
        <v>839</v>
      </c>
      <c r="F70" s="70" t="s">
        <v>840</v>
      </c>
      <c r="I70" s="15" t="s">
        <v>841</v>
      </c>
    </row>
    <row r="71" spans="1:9" ht="60.75">
      <c r="A71" s="53" t="s">
        <v>105</v>
      </c>
      <c r="B71" s="80">
        <v>45286</v>
      </c>
      <c r="C71" s="53" t="s">
        <v>842</v>
      </c>
      <c r="D71" s="159" t="s">
        <v>843</v>
      </c>
      <c r="E71" s="31" t="s">
        <v>844</v>
      </c>
      <c r="F71" s="151" t="s">
        <v>845</v>
      </c>
      <c r="G71" s="70"/>
      <c r="H71" s="70"/>
      <c r="I71" s="70" t="s">
        <v>712</v>
      </c>
    </row>
    <row r="72" spans="1:9" ht="76.5">
      <c r="A72" s="12" t="s">
        <v>171</v>
      </c>
      <c r="B72" s="80">
        <v>45286</v>
      </c>
      <c r="C72" s="12" t="s">
        <v>11</v>
      </c>
      <c r="D72" s="16" t="s">
        <v>833</v>
      </c>
      <c r="E72" s="14" t="s">
        <v>834</v>
      </c>
      <c r="F72" s="22" t="s">
        <v>835</v>
      </c>
      <c r="G72" s="16"/>
      <c r="H72" s="16"/>
      <c r="I72" s="225" t="s">
        <v>846</v>
      </c>
    </row>
    <row r="73" spans="1:9" ht="30.75">
      <c r="A73" s="16" t="s">
        <v>381</v>
      </c>
      <c r="B73" s="80">
        <v>45286</v>
      </c>
      <c r="C73" s="12" t="s">
        <v>847</v>
      </c>
      <c r="D73" s="22" t="s">
        <v>848</v>
      </c>
      <c r="E73" s="14" t="s">
        <v>849</v>
      </c>
      <c r="F73" s="16" t="s">
        <v>831</v>
      </c>
      <c r="G73" s="16"/>
      <c r="H73" s="16"/>
      <c r="I73" s="22" t="s">
        <v>850</v>
      </c>
    </row>
    <row r="74" spans="1:9" ht="76.5">
      <c r="A74" s="16" t="s">
        <v>90</v>
      </c>
      <c r="B74" s="80">
        <v>45286</v>
      </c>
      <c r="C74" s="12" t="s">
        <v>851</v>
      </c>
      <c r="D74" s="22" t="s">
        <v>852</v>
      </c>
      <c r="E74" s="14" t="s">
        <v>849</v>
      </c>
      <c r="F74" s="16" t="s">
        <v>853</v>
      </c>
      <c r="G74" s="16"/>
      <c r="H74" s="16"/>
      <c r="I74" s="22" t="s">
        <v>854</v>
      </c>
    </row>
    <row r="75" spans="1:9" ht="137.25">
      <c r="A75" s="12" t="s">
        <v>171</v>
      </c>
      <c r="B75" s="80">
        <v>45287</v>
      </c>
      <c r="C75" s="12" t="s">
        <v>11</v>
      </c>
      <c r="D75" s="16" t="s">
        <v>833</v>
      </c>
      <c r="E75" s="14" t="s">
        <v>834</v>
      </c>
      <c r="F75" s="22" t="s">
        <v>835</v>
      </c>
      <c r="G75" s="16"/>
      <c r="H75" s="16"/>
      <c r="I75" s="225" t="s">
        <v>855</v>
      </c>
    </row>
    <row r="76" spans="1:9" ht="45.75">
      <c r="A76" s="16" t="s">
        <v>381</v>
      </c>
      <c r="B76" s="80">
        <v>45287</v>
      </c>
      <c r="C76" s="12" t="s">
        <v>18</v>
      </c>
      <c r="D76" s="22" t="s">
        <v>829</v>
      </c>
      <c r="E76" s="14" t="s">
        <v>849</v>
      </c>
      <c r="F76" s="16" t="s">
        <v>856</v>
      </c>
      <c r="G76" s="16"/>
      <c r="H76" s="16"/>
      <c r="I76" s="22" t="s">
        <v>857</v>
      </c>
    </row>
    <row r="77" spans="1:9" ht="30.75">
      <c r="A77" s="16" t="s">
        <v>90</v>
      </c>
      <c r="B77" s="80">
        <v>45287</v>
      </c>
      <c r="C77" s="12" t="s">
        <v>851</v>
      </c>
      <c r="D77" s="22" t="s">
        <v>852</v>
      </c>
      <c r="E77" s="14" t="s">
        <v>849</v>
      </c>
      <c r="F77" s="16" t="s">
        <v>858</v>
      </c>
      <c r="G77" s="16"/>
      <c r="H77" s="16"/>
      <c r="I77" s="22" t="s">
        <v>859</v>
      </c>
    </row>
    <row r="78" spans="1:9" ht="60.75">
      <c r="A78" s="16" t="s">
        <v>381</v>
      </c>
      <c r="B78" s="80">
        <v>45288</v>
      </c>
      <c r="C78" s="12" t="s">
        <v>18</v>
      </c>
      <c r="D78" s="22" t="s">
        <v>860</v>
      </c>
      <c r="E78" s="14" t="s">
        <v>849</v>
      </c>
      <c r="F78" s="16" t="s">
        <v>861</v>
      </c>
      <c r="G78" s="16"/>
      <c r="H78" s="16"/>
      <c r="I78" s="22" t="s">
        <v>862</v>
      </c>
    </row>
    <row r="79" spans="1:9" ht="137.25">
      <c r="A79" s="12" t="s">
        <v>171</v>
      </c>
      <c r="B79" s="80">
        <v>45288</v>
      </c>
      <c r="C79" s="12" t="s">
        <v>11</v>
      </c>
      <c r="D79" s="16" t="s">
        <v>833</v>
      </c>
      <c r="E79" s="14" t="s">
        <v>834</v>
      </c>
      <c r="F79" s="22" t="s">
        <v>835</v>
      </c>
      <c r="G79" s="16"/>
      <c r="H79" s="16"/>
      <c r="I79" s="225" t="s">
        <v>855</v>
      </c>
    </row>
    <row r="80" spans="1:9" ht="76.5">
      <c r="A80" s="16" t="s">
        <v>90</v>
      </c>
      <c r="B80" s="80">
        <v>45288</v>
      </c>
      <c r="C80" s="16" t="s">
        <v>419</v>
      </c>
      <c r="E80" s="22" t="s">
        <v>863</v>
      </c>
      <c r="F80" s="22" t="s">
        <v>864</v>
      </c>
      <c r="G80" s="16"/>
      <c r="H80" s="16"/>
      <c r="I80" s="16" t="s">
        <v>865</v>
      </c>
    </row>
    <row r="81" spans="1:9" ht="30.75">
      <c r="A81" s="16" t="s">
        <v>381</v>
      </c>
      <c r="B81" s="80">
        <v>45289</v>
      </c>
      <c r="C81" s="12" t="s">
        <v>11</v>
      </c>
      <c r="D81" s="22" t="s">
        <v>866</v>
      </c>
      <c r="E81" s="14" t="s">
        <v>849</v>
      </c>
      <c r="F81" s="16" t="s">
        <v>867</v>
      </c>
      <c r="G81" s="16"/>
      <c r="H81" s="16"/>
      <c r="I81" s="22" t="s">
        <v>868</v>
      </c>
    </row>
    <row r="82" spans="1:9" ht="30.75">
      <c r="A82" s="16" t="s">
        <v>171</v>
      </c>
      <c r="B82" s="80">
        <v>45289</v>
      </c>
      <c r="C82" s="12" t="s">
        <v>11</v>
      </c>
      <c r="D82" s="16" t="s">
        <v>833</v>
      </c>
      <c r="E82" s="14" t="s">
        <v>834</v>
      </c>
      <c r="F82" s="22" t="s">
        <v>835</v>
      </c>
      <c r="G82" s="16"/>
      <c r="H82" s="16"/>
      <c r="I82" s="225" t="s">
        <v>869</v>
      </c>
    </row>
    <row r="83" spans="1:9" ht="60.75">
      <c r="A83" s="16" t="s">
        <v>90</v>
      </c>
      <c r="B83" s="80">
        <v>45289</v>
      </c>
      <c r="C83" s="16" t="s">
        <v>18</v>
      </c>
      <c r="D83" s="16" t="s">
        <v>870</v>
      </c>
      <c r="E83" s="14" t="s">
        <v>871</v>
      </c>
      <c r="F83" s="16" t="s">
        <v>870</v>
      </c>
      <c r="G83" s="16"/>
      <c r="H83" s="16"/>
      <c r="I83" s="22" t="s">
        <v>872</v>
      </c>
    </row>
    <row r="84" spans="1:9">
      <c r="A84" s="16"/>
      <c r="B84" s="16"/>
      <c r="C84" s="16"/>
      <c r="E84" s="113"/>
      <c r="F84" s="16"/>
      <c r="G84" s="16"/>
      <c r="H84" s="16"/>
      <c r="I84" s="16"/>
    </row>
    <row r="85" spans="1:9">
      <c r="A85" s="16"/>
      <c r="B85" s="16"/>
      <c r="C85" s="16"/>
      <c r="D85" s="16"/>
      <c r="E85" s="113"/>
      <c r="F85" s="16"/>
      <c r="G85" s="16"/>
      <c r="H85" s="16"/>
      <c r="I85" s="16"/>
    </row>
    <row r="86" spans="1:9">
      <c r="A86" s="16"/>
      <c r="B86" s="16"/>
      <c r="C86" s="16"/>
      <c r="D86" s="16"/>
      <c r="E86" s="113"/>
      <c r="F86" s="16"/>
      <c r="G86" s="16"/>
      <c r="H86" s="16"/>
      <c r="I86" s="16"/>
    </row>
    <row r="87" spans="1:9">
      <c r="A87" s="16"/>
      <c r="B87" s="16"/>
      <c r="C87" s="16"/>
      <c r="D87" s="16"/>
      <c r="E87" s="113"/>
      <c r="F87" s="16"/>
      <c r="G87" s="16"/>
      <c r="H87" s="16"/>
      <c r="I87" s="16"/>
    </row>
    <row r="88" spans="1:9">
      <c r="A88" s="16"/>
      <c r="B88" s="16"/>
      <c r="C88" s="16"/>
      <c r="D88" s="16"/>
      <c r="E88" s="113"/>
      <c r="F88" s="16"/>
      <c r="G88" s="16"/>
      <c r="H88" s="16"/>
      <c r="I88" s="16"/>
    </row>
    <row r="89" spans="1:9">
      <c r="A89" s="16"/>
      <c r="B89" s="16"/>
      <c r="C89" s="16"/>
      <c r="D89" s="16"/>
      <c r="E89" s="113"/>
      <c r="F89" s="16"/>
      <c r="G89" s="16"/>
      <c r="H89" s="16"/>
      <c r="I89" s="16"/>
    </row>
    <row r="90" spans="1:9">
      <c r="A90" s="16"/>
      <c r="B90" s="16"/>
      <c r="C90" s="16"/>
      <c r="D90" s="16"/>
      <c r="E90" s="113"/>
      <c r="F90" s="16"/>
      <c r="G90" s="16"/>
      <c r="H90" s="16"/>
      <c r="I90" s="16"/>
    </row>
    <row r="91" spans="1:9">
      <c r="A91" s="16"/>
      <c r="B91" s="16"/>
      <c r="C91" s="16"/>
      <c r="D91" s="16"/>
      <c r="E91" s="113"/>
      <c r="F91" s="16"/>
      <c r="G91" s="16"/>
      <c r="H91" s="16"/>
      <c r="I91" s="16"/>
    </row>
    <row r="92" spans="1:9">
      <c r="A92" s="16"/>
      <c r="B92" s="16"/>
      <c r="C92" s="16"/>
      <c r="D92" s="16"/>
      <c r="E92" s="113"/>
      <c r="F92" s="16"/>
      <c r="G92" s="16"/>
      <c r="H92" s="16"/>
      <c r="I92" s="16"/>
    </row>
    <row r="93" spans="1:9">
      <c r="A93" s="16"/>
      <c r="B93" s="16"/>
      <c r="C93" s="16"/>
      <c r="D93" s="16"/>
      <c r="E93" s="113"/>
      <c r="F93" s="16"/>
      <c r="G93" s="16"/>
      <c r="H93" s="16"/>
      <c r="I93" s="16"/>
    </row>
    <row r="94" spans="1:9">
      <c r="A94" s="16"/>
      <c r="B94" s="16"/>
      <c r="C94" s="16"/>
      <c r="D94" s="16"/>
      <c r="E94" s="113"/>
      <c r="F94" s="16"/>
      <c r="G94" s="16"/>
      <c r="H94" s="16"/>
      <c r="I94" s="16"/>
    </row>
    <row r="95" spans="1:9">
      <c r="A95" s="16"/>
      <c r="B95" s="16"/>
      <c r="C95" s="16"/>
      <c r="D95" s="16"/>
      <c r="E95" s="113"/>
      <c r="F95" s="16"/>
      <c r="G95" s="16"/>
      <c r="H95" s="16"/>
      <c r="I95" s="16"/>
    </row>
    <row r="96" spans="1:9">
      <c r="A96" s="16"/>
      <c r="B96" s="16"/>
      <c r="C96" s="16"/>
      <c r="D96" s="16"/>
      <c r="E96" s="113"/>
      <c r="F96" s="16"/>
      <c r="G96" s="16"/>
      <c r="H96" s="16"/>
      <c r="I96" s="16"/>
    </row>
    <row r="97" spans="1:9">
      <c r="A97" s="16"/>
      <c r="B97" s="16"/>
      <c r="C97" s="16"/>
      <c r="D97" s="16"/>
      <c r="E97" s="113"/>
      <c r="F97" s="16"/>
      <c r="G97" s="16"/>
      <c r="H97" s="16"/>
      <c r="I97" s="16"/>
    </row>
    <row r="98" spans="1:9">
      <c r="A98" s="16"/>
      <c r="B98" s="16"/>
      <c r="C98" s="16"/>
      <c r="D98" s="16"/>
      <c r="E98" s="113"/>
      <c r="F98" s="16"/>
      <c r="G98" s="16"/>
      <c r="H98" s="16"/>
      <c r="I98" s="16"/>
    </row>
    <row r="99" spans="1:9">
      <c r="A99" s="16"/>
      <c r="B99" s="16"/>
      <c r="C99" s="16"/>
      <c r="D99" s="16"/>
      <c r="E99" s="113"/>
      <c r="F99" s="16"/>
      <c r="G99" s="16"/>
      <c r="H99" s="16"/>
      <c r="I99" s="16"/>
    </row>
    <row r="100" spans="1:9">
      <c r="A100" s="16"/>
      <c r="B100" s="16"/>
      <c r="C100" s="16"/>
      <c r="D100" s="16"/>
      <c r="E100" s="113"/>
      <c r="F100" s="16"/>
      <c r="G100" s="16"/>
      <c r="H100" s="16"/>
      <c r="I100" s="16"/>
    </row>
    <row r="101" spans="1:9">
      <c r="A101" s="16"/>
      <c r="B101" s="16"/>
      <c r="C101" s="16"/>
      <c r="D101" s="16"/>
      <c r="E101" s="113"/>
      <c r="F101" s="16"/>
      <c r="G101" s="16"/>
      <c r="H101" s="16"/>
      <c r="I101" s="16"/>
    </row>
  </sheetData>
  <mergeCells count="30">
    <mergeCell ref="A50:A51"/>
    <mergeCell ref="B50:B51"/>
    <mergeCell ref="E31:E32"/>
    <mergeCell ref="D31:D32"/>
    <mergeCell ref="C31:C32"/>
    <mergeCell ref="B31:B32"/>
    <mergeCell ref="A31:A32"/>
    <mergeCell ref="A45:A46"/>
    <mergeCell ref="B45:B46"/>
    <mergeCell ref="E40:E41"/>
    <mergeCell ref="D40:D41"/>
    <mergeCell ref="C40:C41"/>
    <mergeCell ref="A38:A41"/>
    <mergeCell ref="B38:B41"/>
    <mergeCell ref="A10:A11"/>
    <mergeCell ref="B10:B11"/>
    <mergeCell ref="C10:C11"/>
    <mergeCell ref="D10:D11"/>
    <mergeCell ref="E10:E11"/>
    <mergeCell ref="A5:A6"/>
    <mergeCell ref="B5:B6"/>
    <mergeCell ref="C5:C6"/>
    <mergeCell ref="D5:D6"/>
    <mergeCell ref="E5:E6"/>
    <mergeCell ref="G22:G23"/>
    <mergeCell ref="E22:E23"/>
    <mergeCell ref="A22:A23"/>
    <mergeCell ref="B22:B23"/>
    <mergeCell ref="C22:C23"/>
    <mergeCell ref="D22:D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CFF6C-0B1E-448C-9FB2-487F0627D34E}">
  <dimension ref="A1:I122"/>
  <sheetViews>
    <sheetView topLeftCell="A81" workbookViewId="0">
      <selection activeCell="D78" sqref="D78"/>
    </sheetView>
  </sheetViews>
  <sheetFormatPr defaultRowHeight="15"/>
  <cols>
    <col min="1" max="1" width="9.140625" style="15"/>
    <col min="2" max="2" width="11.42578125" style="15" bestFit="1" customWidth="1"/>
    <col min="3" max="3" width="18.28515625" style="15" customWidth="1"/>
    <col min="4" max="4" width="48" style="15" customWidth="1"/>
    <col min="5" max="5" width="50.85546875" style="15" bestFit="1" customWidth="1"/>
    <col min="6" max="6" width="44.42578125" style="15" customWidth="1"/>
    <col min="7" max="8" width="9.140625" style="15"/>
    <col min="9" max="9" width="44.140625" style="15" customWidth="1"/>
    <col min="10" max="16384" width="9.140625" style="15"/>
  </cols>
  <sheetData>
    <row r="1" spans="1:9" ht="30.75">
      <c r="A1" s="126" t="s">
        <v>84</v>
      </c>
      <c r="B1" s="126" t="s">
        <v>85</v>
      </c>
      <c r="C1" s="126" t="s">
        <v>86</v>
      </c>
      <c r="D1" s="126" t="s">
        <v>1</v>
      </c>
      <c r="E1" s="17" t="s">
        <v>2</v>
      </c>
      <c r="F1" s="237" t="s">
        <v>87</v>
      </c>
      <c r="G1" s="126" t="s">
        <v>88</v>
      </c>
      <c r="H1" s="126" t="s">
        <v>89</v>
      </c>
      <c r="I1" s="17" t="s">
        <v>10</v>
      </c>
    </row>
    <row r="2" spans="1:9" ht="96" customHeight="1">
      <c r="A2" s="16" t="s">
        <v>171</v>
      </c>
      <c r="B2" s="13">
        <v>45293</v>
      </c>
      <c r="C2" s="12" t="s">
        <v>11</v>
      </c>
      <c r="D2" s="16" t="s">
        <v>833</v>
      </c>
      <c r="E2" s="14" t="s">
        <v>834</v>
      </c>
      <c r="F2" s="22" t="s">
        <v>835</v>
      </c>
      <c r="G2" s="16"/>
      <c r="H2" s="16"/>
      <c r="I2" s="225" t="s">
        <v>873</v>
      </c>
    </row>
    <row r="3" spans="1:9" ht="30.75">
      <c r="A3" s="70" t="s">
        <v>381</v>
      </c>
      <c r="B3" s="80">
        <v>45293</v>
      </c>
      <c r="C3" s="53" t="s">
        <v>22</v>
      </c>
      <c r="D3" s="151" t="s">
        <v>874</v>
      </c>
      <c r="E3" s="31" t="s">
        <v>849</v>
      </c>
      <c r="F3" s="151" t="s">
        <v>875</v>
      </c>
      <c r="G3" s="70"/>
      <c r="H3" s="70"/>
      <c r="I3" s="151" t="s">
        <v>876</v>
      </c>
    </row>
    <row r="4" spans="1:9" ht="91.5">
      <c r="A4" s="16" t="s">
        <v>105</v>
      </c>
      <c r="B4" s="133">
        <v>45293</v>
      </c>
      <c r="C4" s="16" t="s">
        <v>22</v>
      </c>
      <c r="D4" s="22" t="s">
        <v>877</v>
      </c>
      <c r="E4" s="16" t="s">
        <v>878</v>
      </c>
      <c r="F4" s="16"/>
      <c r="G4" s="16"/>
      <c r="H4" s="16"/>
      <c r="I4" s="22" t="s">
        <v>879</v>
      </c>
    </row>
    <row r="5" spans="1:9" ht="60.75">
      <c r="A5" s="16" t="s">
        <v>90</v>
      </c>
      <c r="B5" s="133">
        <v>45293</v>
      </c>
      <c r="C5" s="16" t="s">
        <v>18</v>
      </c>
      <c r="D5" s="266" t="s">
        <v>880</v>
      </c>
      <c r="E5" s="14" t="s">
        <v>849</v>
      </c>
      <c r="F5" s="22" t="s">
        <v>881</v>
      </c>
      <c r="G5" s="16"/>
      <c r="H5" s="16"/>
      <c r="I5" s="22" t="s">
        <v>882</v>
      </c>
    </row>
    <row r="6" spans="1:9" ht="198">
      <c r="A6" s="70" t="s">
        <v>171</v>
      </c>
      <c r="B6" s="80">
        <v>45294</v>
      </c>
      <c r="C6" s="106" t="s">
        <v>324</v>
      </c>
      <c r="D6" s="151" t="s">
        <v>883</v>
      </c>
      <c r="E6" s="31" t="s">
        <v>834</v>
      </c>
      <c r="F6" s="151" t="s">
        <v>835</v>
      </c>
      <c r="G6" s="70"/>
      <c r="H6" s="70"/>
      <c r="I6" s="265" t="s">
        <v>884</v>
      </c>
    </row>
    <row r="7" spans="1:9" ht="60.75">
      <c r="A7" s="16" t="s">
        <v>381</v>
      </c>
      <c r="B7" s="13">
        <v>45294</v>
      </c>
      <c r="C7" s="8" t="s">
        <v>885</v>
      </c>
      <c r="D7" s="22" t="s">
        <v>886</v>
      </c>
      <c r="E7" s="14" t="s">
        <v>849</v>
      </c>
      <c r="F7" s="151" t="s">
        <v>887</v>
      </c>
      <c r="G7" s="70"/>
      <c r="H7" s="70"/>
      <c r="I7" s="151" t="s">
        <v>888</v>
      </c>
    </row>
    <row r="8" spans="1:9" ht="45.75">
      <c r="A8" s="296" t="s">
        <v>105</v>
      </c>
      <c r="B8" s="302">
        <v>45294</v>
      </c>
      <c r="C8" s="22" t="s">
        <v>889</v>
      </c>
      <c r="D8" s="138" t="s">
        <v>890</v>
      </c>
      <c r="E8" s="330" t="s">
        <v>849</v>
      </c>
      <c r="F8" s="338" t="s">
        <v>891</v>
      </c>
      <c r="G8" s="10"/>
      <c r="H8" s="267"/>
      <c r="I8" s="269" t="s">
        <v>892</v>
      </c>
    </row>
    <row r="9" spans="1:9" ht="60.75" customHeight="1">
      <c r="A9" s="304"/>
      <c r="B9" s="305"/>
      <c r="C9" s="16" t="s">
        <v>22</v>
      </c>
      <c r="D9" s="268" t="s">
        <v>893</v>
      </c>
      <c r="E9" s="330"/>
      <c r="F9" s="338"/>
      <c r="G9" s="16"/>
      <c r="H9" s="16"/>
      <c r="I9" s="146" t="s">
        <v>894</v>
      </c>
    </row>
    <row r="10" spans="1:9" ht="60.75">
      <c r="A10" s="16" t="s">
        <v>90</v>
      </c>
      <c r="B10" s="133">
        <v>45294</v>
      </c>
      <c r="C10" s="16" t="s">
        <v>695</v>
      </c>
      <c r="D10" s="270" t="s">
        <v>895</v>
      </c>
      <c r="E10" s="242" t="s">
        <v>849</v>
      </c>
      <c r="F10" s="138" t="s">
        <v>895</v>
      </c>
      <c r="G10" s="16"/>
      <c r="H10" s="16"/>
      <c r="I10" s="22" t="s">
        <v>896</v>
      </c>
    </row>
    <row r="11" spans="1:9" ht="45.75">
      <c r="A11" s="296" t="s">
        <v>105</v>
      </c>
      <c r="B11" s="302">
        <v>45295</v>
      </c>
      <c r="C11" s="22" t="s">
        <v>889</v>
      </c>
      <c r="D11" s="138" t="s">
        <v>890</v>
      </c>
      <c r="E11" s="330" t="s">
        <v>849</v>
      </c>
      <c r="F11" s="338" t="s">
        <v>897</v>
      </c>
      <c r="G11" s="10"/>
      <c r="H11" s="267"/>
      <c r="I11" s="269" t="s">
        <v>892</v>
      </c>
    </row>
    <row r="12" spans="1:9" ht="45.75">
      <c r="A12" s="297"/>
      <c r="B12" s="303"/>
      <c r="C12" s="70" t="s">
        <v>22</v>
      </c>
      <c r="D12" s="271" t="s">
        <v>893</v>
      </c>
      <c r="E12" s="331"/>
      <c r="F12" s="339"/>
      <c r="G12" s="70"/>
      <c r="H12" s="70"/>
      <c r="I12" s="272" t="s">
        <v>898</v>
      </c>
    </row>
    <row r="13" spans="1:9" ht="121.5">
      <c r="A13" s="16" t="s">
        <v>171</v>
      </c>
      <c r="B13" s="13">
        <v>45295</v>
      </c>
      <c r="C13" s="8" t="s">
        <v>899</v>
      </c>
      <c r="D13" s="22" t="s">
        <v>900</v>
      </c>
      <c r="E13" s="14" t="s">
        <v>834</v>
      </c>
      <c r="F13" s="22" t="s">
        <v>835</v>
      </c>
      <c r="G13" s="16"/>
      <c r="H13" s="16"/>
      <c r="I13" s="225" t="s">
        <v>901</v>
      </c>
    </row>
    <row r="14" spans="1:9" ht="121.5">
      <c r="A14" s="16" t="s">
        <v>381</v>
      </c>
      <c r="B14" s="13">
        <v>45295</v>
      </c>
      <c r="C14" s="8" t="s">
        <v>902</v>
      </c>
      <c r="D14" s="22" t="s">
        <v>903</v>
      </c>
      <c r="E14" s="14" t="s">
        <v>849</v>
      </c>
      <c r="F14" s="151" t="s">
        <v>904</v>
      </c>
      <c r="G14" s="70"/>
      <c r="H14" s="70"/>
      <c r="I14" s="151" t="s">
        <v>905</v>
      </c>
    </row>
    <row r="15" spans="1:9">
      <c r="A15" s="16" t="s">
        <v>90</v>
      </c>
      <c r="B15" s="133">
        <v>45295</v>
      </c>
      <c r="C15" s="16" t="s">
        <v>11</v>
      </c>
      <c r="D15" s="16" t="s">
        <v>906</v>
      </c>
      <c r="E15" s="16" t="s">
        <v>907</v>
      </c>
      <c r="F15" s="16"/>
      <c r="G15" s="16"/>
      <c r="H15" s="16"/>
      <c r="I15" s="16" t="s">
        <v>908</v>
      </c>
    </row>
    <row r="16" spans="1:9" ht="91.5">
      <c r="A16" s="16" t="s">
        <v>171</v>
      </c>
      <c r="B16" s="13">
        <v>45296</v>
      </c>
      <c r="C16" s="8" t="s">
        <v>899</v>
      </c>
      <c r="D16" s="22" t="s">
        <v>909</v>
      </c>
      <c r="E16" s="14" t="s">
        <v>910</v>
      </c>
      <c r="F16" s="22" t="s">
        <v>911</v>
      </c>
      <c r="G16" s="16"/>
      <c r="H16" s="16"/>
      <c r="I16" s="225" t="s">
        <v>912</v>
      </c>
    </row>
    <row r="17" spans="1:9" ht="121.5">
      <c r="A17" s="16" t="s">
        <v>381</v>
      </c>
      <c r="B17" s="13">
        <v>45296</v>
      </c>
      <c r="C17" s="8" t="s">
        <v>913</v>
      </c>
      <c r="D17" s="22" t="s">
        <v>914</v>
      </c>
      <c r="E17" s="14" t="s">
        <v>849</v>
      </c>
      <c r="F17" s="151" t="s">
        <v>915</v>
      </c>
      <c r="G17" s="70"/>
      <c r="H17" s="70"/>
      <c r="I17" s="151" t="s">
        <v>916</v>
      </c>
    </row>
    <row r="18" spans="1:9" ht="60.75">
      <c r="A18" s="16" t="s">
        <v>105</v>
      </c>
      <c r="B18" s="133">
        <v>45296</v>
      </c>
      <c r="C18" s="16" t="s">
        <v>18</v>
      </c>
      <c r="D18" s="22" t="s">
        <v>917</v>
      </c>
      <c r="E18" s="22" t="s">
        <v>849</v>
      </c>
      <c r="F18" s="16" t="s">
        <v>918</v>
      </c>
      <c r="G18" s="16"/>
      <c r="H18" s="16"/>
      <c r="I18" s="16" t="s">
        <v>919</v>
      </c>
    </row>
    <row r="19" spans="1:9">
      <c r="A19" s="16" t="s">
        <v>90</v>
      </c>
      <c r="B19" s="133">
        <v>45296</v>
      </c>
      <c r="C19" s="16" t="s">
        <v>11</v>
      </c>
      <c r="D19" s="16" t="s">
        <v>906</v>
      </c>
      <c r="E19" s="16" t="s">
        <v>907</v>
      </c>
      <c r="F19" s="16"/>
      <c r="G19" s="16"/>
      <c r="H19" s="16"/>
      <c r="I19" s="16" t="s">
        <v>920</v>
      </c>
    </row>
    <row r="20" spans="1:9" ht="76.5">
      <c r="A20" s="16" t="s">
        <v>381</v>
      </c>
      <c r="B20" s="13">
        <v>45299</v>
      </c>
      <c r="C20" s="8" t="s">
        <v>921</v>
      </c>
      <c r="D20" s="22" t="s">
        <v>922</v>
      </c>
      <c r="E20" s="14" t="s">
        <v>849</v>
      </c>
      <c r="F20" s="151" t="s">
        <v>923</v>
      </c>
      <c r="G20" s="70"/>
      <c r="H20" s="70"/>
      <c r="I20" s="151" t="s">
        <v>924</v>
      </c>
    </row>
    <row r="21" spans="1:9" ht="30.75">
      <c r="A21" s="16" t="s">
        <v>105</v>
      </c>
      <c r="B21" s="133">
        <v>45299</v>
      </c>
      <c r="C21" s="16" t="s">
        <v>22</v>
      </c>
      <c r="D21" s="16" t="s">
        <v>925</v>
      </c>
      <c r="E21" s="14" t="s">
        <v>849</v>
      </c>
      <c r="F21" s="16" t="s">
        <v>926</v>
      </c>
      <c r="G21" s="16"/>
      <c r="H21" s="16"/>
      <c r="I21" s="16" t="s">
        <v>927</v>
      </c>
    </row>
    <row r="22" spans="1:9" ht="75.75" customHeight="1">
      <c r="A22" s="16" t="s">
        <v>171</v>
      </c>
      <c r="B22" s="13">
        <v>45299</v>
      </c>
      <c r="C22" s="8" t="s">
        <v>899</v>
      </c>
      <c r="D22" s="22" t="s">
        <v>925</v>
      </c>
      <c r="E22" s="14" t="s">
        <v>928</v>
      </c>
      <c r="F22" s="22" t="s">
        <v>929</v>
      </c>
      <c r="G22" s="16"/>
      <c r="H22" s="16"/>
      <c r="I22" s="225" t="s">
        <v>930</v>
      </c>
    </row>
    <row r="23" spans="1:9">
      <c r="A23" s="16" t="s">
        <v>90</v>
      </c>
      <c r="B23" s="133">
        <v>45299</v>
      </c>
      <c r="C23" s="16" t="s">
        <v>11</v>
      </c>
      <c r="D23" s="16" t="s">
        <v>906</v>
      </c>
      <c r="E23" s="16" t="s">
        <v>907</v>
      </c>
      <c r="F23" s="16"/>
      <c r="G23" s="16"/>
      <c r="H23" s="16"/>
      <c r="I23" s="16" t="s">
        <v>920</v>
      </c>
    </row>
    <row r="24" spans="1:9" ht="137.25">
      <c r="A24" s="16" t="s">
        <v>171</v>
      </c>
      <c r="B24" s="13">
        <v>45300</v>
      </c>
      <c r="C24" s="8" t="s">
        <v>899</v>
      </c>
      <c r="D24" s="22" t="s">
        <v>931</v>
      </c>
      <c r="E24" s="14" t="s">
        <v>932</v>
      </c>
      <c r="F24" s="22" t="s">
        <v>933</v>
      </c>
      <c r="G24" s="16"/>
      <c r="H24" s="16"/>
      <c r="I24" s="265" t="s">
        <v>934</v>
      </c>
    </row>
    <row r="25" spans="1:9" ht="30.75" customHeight="1">
      <c r="A25" s="296" t="s">
        <v>105</v>
      </c>
      <c r="B25" s="302">
        <v>45300</v>
      </c>
      <c r="C25" s="300" t="s">
        <v>22</v>
      </c>
      <c r="D25" s="16" t="s">
        <v>925</v>
      </c>
      <c r="E25" s="300" t="s">
        <v>849</v>
      </c>
      <c r="F25" s="16" t="s">
        <v>926</v>
      </c>
      <c r="G25" s="16"/>
      <c r="H25" s="30"/>
      <c r="I25" s="320" t="s">
        <v>935</v>
      </c>
    </row>
    <row r="26" spans="1:9" ht="30.75">
      <c r="A26" s="304"/>
      <c r="B26" s="305"/>
      <c r="C26" s="301"/>
      <c r="D26" s="16" t="s">
        <v>936</v>
      </c>
      <c r="E26" s="301"/>
      <c r="F26" s="22" t="s">
        <v>937</v>
      </c>
      <c r="G26" s="16"/>
      <c r="H26" s="30"/>
      <c r="I26" s="320"/>
    </row>
    <row r="27" spans="1:9" ht="70.5" customHeight="1">
      <c r="A27" s="16" t="s">
        <v>381</v>
      </c>
      <c r="B27" s="13">
        <v>45300</v>
      </c>
      <c r="C27" s="8" t="s">
        <v>938</v>
      </c>
      <c r="D27" s="22" t="s">
        <v>939</v>
      </c>
      <c r="E27" s="14" t="s">
        <v>940</v>
      </c>
      <c r="F27" s="151" t="s">
        <v>941</v>
      </c>
      <c r="G27" s="70"/>
      <c r="H27" s="228"/>
      <c r="I27" s="28" t="s">
        <v>942</v>
      </c>
    </row>
    <row r="28" spans="1:9">
      <c r="A28" s="16" t="s">
        <v>90</v>
      </c>
      <c r="B28" s="133">
        <v>45300</v>
      </c>
      <c r="C28" s="16" t="s">
        <v>11</v>
      </c>
      <c r="D28" s="16" t="s">
        <v>906</v>
      </c>
      <c r="E28" s="16" t="s">
        <v>907</v>
      </c>
      <c r="F28" s="273" t="s">
        <v>943</v>
      </c>
      <c r="G28" s="16"/>
      <c r="H28" s="30"/>
      <c r="I28" s="16" t="s">
        <v>944</v>
      </c>
    </row>
    <row r="29" spans="1:9">
      <c r="A29" s="16" t="s">
        <v>90</v>
      </c>
      <c r="B29" s="133">
        <v>45301</v>
      </c>
      <c r="C29" s="16" t="s">
        <v>11</v>
      </c>
      <c r="D29" s="16" t="s">
        <v>906</v>
      </c>
      <c r="E29" s="16" t="s">
        <v>907</v>
      </c>
      <c r="F29" s="273" t="s">
        <v>943</v>
      </c>
      <c r="G29" s="16"/>
      <c r="H29" s="30"/>
      <c r="I29" s="16" t="s">
        <v>944</v>
      </c>
    </row>
    <row r="30" spans="1:9" ht="45.75">
      <c r="A30" s="70" t="s">
        <v>381</v>
      </c>
      <c r="B30" s="80">
        <v>45301</v>
      </c>
      <c r="C30" s="106" t="s">
        <v>11</v>
      </c>
      <c r="D30" s="151" t="s">
        <v>945</v>
      </c>
      <c r="E30" s="31" t="s">
        <v>940</v>
      </c>
      <c r="F30" s="151" t="s">
        <v>941</v>
      </c>
      <c r="G30" s="70"/>
      <c r="H30" s="228"/>
      <c r="I30" s="28" t="s">
        <v>946</v>
      </c>
    </row>
    <row r="31" spans="1:9" ht="30.75">
      <c r="A31" s="16" t="s">
        <v>171</v>
      </c>
      <c r="B31" s="13">
        <v>45301</v>
      </c>
      <c r="C31" s="8" t="s">
        <v>11</v>
      </c>
      <c r="D31" s="22" t="s">
        <v>947</v>
      </c>
      <c r="E31" s="31" t="s">
        <v>948</v>
      </c>
      <c r="F31" s="22"/>
      <c r="G31" s="16"/>
      <c r="H31" s="16"/>
      <c r="I31" s="274" t="s">
        <v>949</v>
      </c>
    </row>
    <row r="32" spans="1:9" ht="45.75">
      <c r="A32" s="16" t="s">
        <v>381</v>
      </c>
      <c r="B32" s="13">
        <v>45302</v>
      </c>
      <c r="C32" s="106" t="s">
        <v>11</v>
      </c>
      <c r="D32" s="151" t="s">
        <v>950</v>
      </c>
      <c r="E32" s="31" t="s">
        <v>940</v>
      </c>
      <c r="F32" s="151" t="s">
        <v>951</v>
      </c>
      <c r="G32" s="70"/>
      <c r="H32" s="228"/>
      <c r="I32" s="28" t="s">
        <v>952</v>
      </c>
    </row>
    <row r="33" spans="1:9" ht="30.75">
      <c r="A33" s="16" t="s">
        <v>105</v>
      </c>
      <c r="B33" s="13">
        <v>45302</v>
      </c>
      <c r="C33" s="8" t="s">
        <v>11</v>
      </c>
      <c r="D33" s="22" t="s">
        <v>947</v>
      </c>
      <c r="E33" s="31" t="s">
        <v>948</v>
      </c>
      <c r="F33" s="22"/>
      <c r="G33" s="16"/>
      <c r="H33" s="16"/>
      <c r="I33" s="274" t="s">
        <v>949</v>
      </c>
    </row>
    <row r="34" spans="1:9" ht="30.75">
      <c r="A34" s="16" t="s">
        <v>171</v>
      </c>
      <c r="B34" s="13">
        <v>45302</v>
      </c>
      <c r="C34" s="8" t="s">
        <v>11</v>
      </c>
      <c r="D34" s="22" t="s">
        <v>947</v>
      </c>
      <c r="E34" s="31" t="s">
        <v>948</v>
      </c>
      <c r="F34" s="22"/>
      <c r="G34" s="16"/>
      <c r="H34" s="16"/>
      <c r="I34" s="274" t="s">
        <v>953</v>
      </c>
    </row>
    <row r="35" spans="1:9">
      <c r="A35" s="16" t="s">
        <v>90</v>
      </c>
      <c r="B35" s="133">
        <v>45302</v>
      </c>
      <c r="C35" s="16" t="s">
        <v>11</v>
      </c>
      <c r="D35" s="16" t="s">
        <v>906</v>
      </c>
      <c r="E35" s="16" t="s">
        <v>907</v>
      </c>
      <c r="F35" s="273" t="s">
        <v>943</v>
      </c>
      <c r="G35" s="16"/>
      <c r="H35" s="16"/>
      <c r="I35" s="16" t="s">
        <v>954</v>
      </c>
    </row>
    <row r="36" spans="1:9">
      <c r="A36" s="16" t="s">
        <v>90</v>
      </c>
      <c r="B36" s="133">
        <v>45303</v>
      </c>
      <c r="C36" s="8" t="s">
        <v>11</v>
      </c>
      <c r="D36" s="22" t="s">
        <v>947</v>
      </c>
      <c r="E36" s="70" t="s">
        <v>955</v>
      </c>
      <c r="F36" s="273"/>
      <c r="G36" s="16"/>
      <c r="H36" s="16"/>
      <c r="I36" s="152" t="s">
        <v>956</v>
      </c>
    </row>
    <row r="37" spans="1:9" ht="30.75">
      <c r="A37" s="16" t="s">
        <v>381</v>
      </c>
      <c r="B37" s="13">
        <v>45303</v>
      </c>
      <c r="C37" s="8" t="s">
        <v>11</v>
      </c>
      <c r="D37" s="22" t="s">
        <v>947</v>
      </c>
      <c r="E37" s="31" t="s">
        <v>948</v>
      </c>
      <c r="F37" s="256" t="s">
        <v>957</v>
      </c>
      <c r="G37" s="16"/>
      <c r="H37" s="16"/>
      <c r="I37" s="274" t="s">
        <v>958</v>
      </c>
    </row>
    <row r="38" spans="1:9" ht="30.75">
      <c r="A38" s="16" t="s">
        <v>171</v>
      </c>
      <c r="B38" s="13">
        <v>45303</v>
      </c>
      <c r="C38" s="8" t="s">
        <v>11</v>
      </c>
      <c r="D38" s="22" t="s">
        <v>947</v>
      </c>
      <c r="E38" s="31" t="s">
        <v>948</v>
      </c>
      <c r="F38" s="22"/>
      <c r="G38" s="16"/>
      <c r="H38" s="16"/>
      <c r="I38" s="274" t="s">
        <v>959</v>
      </c>
    </row>
    <row r="39" spans="1:9" ht="30.75">
      <c r="A39" s="16" t="s">
        <v>105</v>
      </c>
      <c r="B39" s="13">
        <v>45303</v>
      </c>
      <c r="C39" s="8" t="s">
        <v>11</v>
      </c>
      <c r="D39" s="22" t="s">
        <v>947</v>
      </c>
      <c r="E39" s="31" t="s">
        <v>948</v>
      </c>
      <c r="F39" s="22"/>
      <c r="G39" s="16"/>
      <c r="H39" s="16"/>
      <c r="I39" s="274" t="s">
        <v>960</v>
      </c>
    </row>
    <row r="40" spans="1:9" ht="30.75">
      <c r="A40" s="16" t="s">
        <v>105</v>
      </c>
      <c r="B40" s="13">
        <v>45306</v>
      </c>
      <c r="C40" s="8" t="s">
        <v>11</v>
      </c>
      <c r="D40" s="22" t="s">
        <v>947</v>
      </c>
      <c r="E40" s="31" t="s">
        <v>948</v>
      </c>
      <c r="F40" s="22"/>
      <c r="G40" s="16"/>
      <c r="H40" s="16"/>
      <c r="I40" s="275" t="s">
        <v>961</v>
      </c>
    </row>
    <row r="41" spans="1:9" ht="45.75">
      <c r="A41" s="16" t="s">
        <v>381</v>
      </c>
      <c r="B41" s="13">
        <v>45306</v>
      </c>
      <c r="C41" s="8" t="s">
        <v>11</v>
      </c>
      <c r="D41" s="22" t="s">
        <v>947</v>
      </c>
      <c r="E41" s="31" t="s">
        <v>948</v>
      </c>
      <c r="F41" s="276" t="s">
        <v>962</v>
      </c>
      <c r="G41" s="16"/>
      <c r="H41" s="16"/>
      <c r="I41" s="274" t="s">
        <v>963</v>
      </c>
    </row>
    <row r="42" spans="1:9" ht="45.75">
      <c r="A42" s="16" t="s">
        <v>90</v>
      </c>
      <c r="B42" s="133">
        <v>45306</v>
      </c>
      <c r="C42" s="8" t="s">
        <v>11</v>
      </c>
      <c r="D42" s="22" t="s">
        <v>947</v>
      </c>
      <c r="E42" s="106" t="s">
        <v>955</v>
      </c>
      <c r="F42" s="273" t="s">
        <v>943</v>
      </c>
      <c r="G42" s="16"/>
      <c r="H42" s="16"/>
      <c r="I42" s="178" t="s">
        <v>964</v>
      </c>
    </row>
    <row r="43" spans="1:9" ht="45.75">
      <c r="A43" s="16" t="s">
        <v>90</v>
      </c>
      <c r="B43" s="133">
        <v>45307</v>
      </c>
      <c r="C43" s="8" t="s">
        <v>11</v>
      </c>
      <c r="D43" s="22" t="s">
        <v>947</v>
      </c>
      <c r="E43" s="106" t="s">
        <v>955</v>
      </c>
      <c r="F43" s="273" t="s">
        <v>943</v>
      </c>
      <c r="G43" s="16"/>
      <c r="H43" s="16"/>
      <c r="I43" s="178" t="s">
        <v>965</v>
      </c>
    </row>
    <row r="44" spans="1:9" ht="45.75">
      <c r="A44" s="16" t="s">
        <v>90</v>
      </c>
      <c r="B44" s="133">
        <v>45308</v>
      </c>
      <c r="C44" s="8" t="s">
        <v>11</v>
      </c>
      <c r="D44" s="22" t="s">
        <v>947</v>
      </c>
      <c r="E44" s="106" t="s">
        <v>955</v>
      </c>
      <c r="F44" s="273" t="s">
        <v>943</v>
      </c>
      <c r="G44" s="16"/>
      <c r="H44" s="16"/>
      <c r="I44" s="178" t="s">
        <v>965</v>
      </c>
    </row>
    <row r="45" spans="1:9" ht="76.5">
      <c r="A45" s="16" t="s">
        <v>105</v>
      </c>
      <c r="B45" s="13">
        <v>45307</v>
      </c>
      <c r="C45" s="8" t="s">
        <v>11</v>
      </c>
      <c r="D45" s="22" t="s">
        <v>947</v>
      </c>
      <c r="E45" s="31" t="s">
        <v>948</v>
      </c>
      <c r="F45" s="22"/>
      <c r="G45" s="16"/>
      <c r="H45" s="16"/>
      <c r="I45" s="275" t="s">
        <v>966</v>
      </c>
    </row>
    <row r="46" spans="1:9" ht="45.75">
      <c r="A46" s="16" t="s">
        <v>381</v>
      </c>
      <c r="B46" s="13">
        <v>45307</v>
      </c>
      <c r="C46" s="8" t="s">
        <v>11</v>
      </c>
      <c r="D46" s="22" t="s">
        <v>947</v>
      </c>
      <c r="E46" s="31" t="s">
        <v>948</v>
      </c>
      <c r="F46" s="276" t="s">
        <v>967</v>
      </c>
      <c r="G46" s="16"/>
      <c r="H46" s="16"/>
      <c r="I46" s="274" t="s">
        <v>968</v>
      </c>
    </row>
    <row r="47" spans="1:9" ht="45.75">
      <c r="A47" s="16" t="s">
        <v>171</v>
      </c>
      <c r="B47" s="13">
        <v>45307</v>
      </c>
      <c r="C47" s="8" t="s">
        <v>11</v>
      </c>
      <c r="D47" s="22" t="s">
        <v>947</v>
      </c>
      <c r="E47" s="31" t="s">
        <v>948</v>
      </c>
      <c r="F47" s="22"/>
      <c r="G47" s="16"/>
      <c r="H47" s="16"/>
      <c r="I47" s="274" t="s">
        <v>969</v>
      </c>
    </row>
    <row r="48" spans="1:9" ht="30.75">
      <c r="A48" s="16" t="s">
        <v>105</v>
      </c>
      <c r="B48" s="13">
        <v>45308</v>
      </c>
      <c r="C48" s="8" t="s">
        <v>11</v>
      </c>
      <c r="D48" s="22" t="s">
        <v>947</v>
      </c>
      <c r="E48" s="31" t="s">
        <v>970</v>
      </c>
      <c r="F48" s="22"/>
      <c r="G48" s="16"/>
      <c r="H48" s="16"/>
      <c r="I48" s="275" t="s">
        <v>971</v>
      </c>
    </row>
    <row r="49" spans="1:9" ht="45.75">
      <c r="A49" s="16" t="s">
        <v>171</v>
      </c>
      <c r="B49" s="13">
        <v>45308</v>
      </c>
      <c r="C49" s="8" t="s">
        <v>11</v>
      </c>
      <c r="D49" s="22" t="s">
        <v>947</v>
      </c>
      <c r="E49" s="31" t="s">
        <v>948</v>
      </c>
      <c r="F49" s="22"/>
      <c r="G49" s="16"/>
      <c r="H49" s="16"/>
      <c r="I49" s="274" t="s">
        <v>972</v>
      </c>
    </row>
    <row r="50" spans="1:9" ht="30.75">
      <c r="A50" s="16" t="s">
        <v>171</v>
      </c>
      <c r="B50" s="13">
        <v>45309</v>
      </c>
      <c r="C50" s="8" t="s">
        <v>11</v>
      </c>
      <c r="D50" s="22" t="s">
        <v>947</v>
      </c>
      <c r="E50" s="31" t="s">
        <v>948</v>
      </c>
      <c r="F50" s="22"/>
      <c r="G50" s="16"/>
      <c r="H50" s="16"/>
      <c r="I50" s="274" t="s">
        <v>973</v>
      </c>
    </row>
    <row r="51" spans="1:9" ht="30.75">
      <c r="A51" s="16" t="s">
        <v>381</v>
      </c>
      <c r="B51" s="13">
        <v>45309</v>
      </c>
      <c r="C51" s="8" t="s">
        <v>11</v>
      </c>
      <c r="D51" s="22" t="s">
        <v>947</v>
      </c>
      <c r="E51" s="31" t="s">
        <v>948</v>
      </c>
      <c r="F51" s="16"/>
      <c r="G51" s="16"/>
      <c r="H51" s="16"/>
      <c r="I51" s="22" t="s">
        <v>974</v>
      </c>
    </row>
    <row r="52" spans="1:9" ht="30.75">
      <c r="A52" s="16" t="s">
        <v>105</v>
      </c>
      <c r="B52" s="13">
        <v>45309</v>
      </c>
      <c r="C52" s="8" t="s">
        <v>11</v>
      </c>
      <c r="D52" s="22" t="s">
        <v>947</v>
      </c>
      <c r="E52" s="31" t="s">
        <v>975</v>
      </c>
      <c r="F52" s="22"/>
      <c r="G52" s="16"/>
      <c r="H52" s="16"/>
      <c r="I52" s="275" t="s">
        <v>976</v>
      </c>
    </row>
    <row r="53" spans="1:9" ht="60.75">
      <c r="A53" s="16" t="s">
        <v>90</v>
      </c>
      <c r="B53" s="133">
        <v>45309</v>
      </c>
      <c r="C53" s="8" t="s">
        <v>11</v>
      </c>
      <c r="D53" s="22" t="s">
        <v>947</v>
      </c>
      <c r="E53" s="256" t="s">
        <v>977</v>
      </c>
      <c r="F53" s="256" t="s">
        <v>978</v>
      </c>
      <c r="G53" s="16"/>
      <c r="H53" s="16"/>
      <c r="I53" s="275" t="s">
        <v>979</v>
      </c>
    </row>
    <row r="54" spans="1:9" ht="30.75">
      <c r="A54" s="16" t="s">
        <v>105</v>
      </c>
      <c r="B54" s="13">
        <v>45310</v>
      </c>
      <c r="C54" s="8" t="s">
        <v>11</v>
      </c>
      <c r="D54" s="22" t="s">
        <v>947</v>
      </c>
      <c r="E54" s="31" t="s">
        <v>975</v>
      </c>
      <c r="F54" s="22"/>
      <c r="G54" s="16"/>
      <c r="H54" s="16"/>
      <c r="I54" s="275" t="s">
        <v>980</v>
      </c>
    </row>
    <row r="55" spans="1:9" ht="45.75">
      <c r="A55" s="16" t="s">
        <v>171</v>
      </c>
      <c r="B55" s="13">
        <v>45310</v>
      </c>
      <c r="C55" s="8" t="s">
        <v>11</v>
      </c>
      <c r="D55" s="22" t="s">
        <v>947</v>
      </c>
      <c r="E55" s="31" t="s">
        <v>948</v>
      </c>
      <c r="F55" s="22"/>
      <c r="G55" s="16"/>
      <c r="H55" s="16"/>
      <c r="I55" s="274" t="s">
        <v>981</v>
      </c>
    </row>
    <row r="56" spans="1:9" ht="60.75">
      <c r="A56" s="16" t="s">
        <v>381</v>
      </c>
      <c r="B56" s="13">
        <v>45310</v>
      </c>
      <c r="C56" s="8" t="s">
        <v>11</v>
      </c>
      <c r="D56" s="22" t="s">
        <v>947</v>
      </c>
      <c r="E56" s="31" t="s">
        <v>948</v>
      </c>
      <c r="F56" s="16"/>
      <c r="G56" s="16"/>
      <c r="H56" s="16"/>
      <c r="I56" s="22" t="s">
        <v>982</v>
      </c>
    </row>
    <row r="57" spans="1:9" ht="45.75">
      <c r="A57" s="16" t="s">
        <v>90</v>
      </c>
      <c r="B57" s="13">
        <v>45310</v>
      </c>
      <c r="C57" s="8" t="s">
        <v>11</v>
      </c>
      <c r="D57" s="22" t="s">
        <v>947</v>
      </c>
      <c r="E57" s="256" t="s">
        <v>983</v>
      </c>
      <c r="F57" s="256" t="s">
        <v>978</v>
      </c>
      <c r="G57" s="16"/>
      <c r="H57" s="16"/>
      <c r="I57" s="275" t="s">
        <v>984</v>
      </c>
    </row>
    <row r="58" spans="1:9" ht="30.75">
      <c r="A58" s="16" t="s">
        <v>105</v>
      </c>
      <c r="B58" s="133">
        <v>45313</v>
      </c>
      <c r="C58" s="16" t="s">
        <v>11</v>
      </c>
      <c r="D58" s="16" t="s">
        <v>947</v>
      </c>
      <c r="E58" s="22" t="s">
        <v>948</v>
      </c>
      <c r="F58" s="277" t="s">
        <v>985</v>
      </c>
      <c r="G58" s="16">
        <v>0.8</v>
      </c>
      <c r="H58" s="16"/>
      <c r="I58" s="16" t="s">
        <v>986</v>
      </c>
    </row>
    <row r="59" spans="1:9" ht="60.75">
      <c r="A59" s="16" t="s">
        <v>381</v>
      </c>
      <c r="B59" s="133">
        <v>45313</v>
      </c>
      <c r="C59" s="8" t="s">
        <v>11</v>
      </c>
      <c r="D59" s="22" t="s">
        <v>947</v>
      </c>
      <c r="E59" s="31" t="s">
        <v>987</v>
      </c>
      <c r="F59" s="16"/>
      <c r="G59" s="16"/>
      <c r="H59" s="16"/>
      <c r="I59" s="22" t="s">
        <v>988</v>
      </c>
    </row>
    <row r="60" spans="1:9" ht="30.75">
      <c r="A60" s="16" t="s">
        <v>171</v>
      </c>
      <c r="B60" s="13">
        <v>45313</v>
      </c>
      <c r="C60" s="8" t="s">
        <v>11</v>
      </c>
      <c r="D60" s="22" t="s">
        <v>947</v>
      </c>
      <c r="E60" s="31" t="s">
        <v>948</v>
      </c>
      <c r="F60" s="22"/>
      <c r="G60" s="16"/>
      <c r="H60" s="16"/>
      <c r="I60" s="274" t="s">
        <v>989</v>
      </c>
    </row>
    <row r="61" spans="1:9" ht="30.75">
      <c r="A61" s="16" t="s">
        <v>90</v>
      </c>
      <c r="B61" s="133">
        <v>45313</v>
      </c>
      <c r="C61" s="8" t="s">
        <v>11</v>
      </c>
      <c r="D61" s="22" t="s">
        <v>947</v>
      </c>
      <c r="E61" s="256" t="s">
        <v>990</v>
      </c>
      <c r="F61" s="256" t="s">
        <v>991</v>
      </c>
      <c r="G61" s="16"/>
      <c r="H61" s="16"/>
      <c r="I61" s="275" t="s">
        <v>992</v>
      </c>
    </row>
    <row r="62" spans="1:9" ht="30.75">
      <c r="A62" s="16" t="s">
        <v>105</v>
      </c>
      <c r="B62" s="13">
        <v>45314</v>
      </c>
      <c r="C62" s="12" t="s">
        <v>11</v>
      </c>
      <c r="D62" s="16" t="s">
        <v>947</v>
      </c>
      <c r="E62" s="22" t="s">
        <v>948</v>
      </c>
      <c r="F62" s="256" t="s">
        <v>985</v>
      </c>
      <c r="G62" s="12">
        <v>0.2</v>
      </c>
      <c r="H62" s="16"/>
      <c r="I62" s="278" t="s">
        <v>38</v>
      </c>
    </row>
    <row r="63" spans="1:9" ht="91.5">
      <c r="A63" s="16" t="s">
        <v>381</v>
      </c>
      <c r="B63" s="133">
        <v>45314</v>
      </c>
      <c r="C63" s="8" t="s">
        <v>11</v>
      </c>
      <c r="D63" s="22" t="s">
        <v>947</v>
      </c>
      <c r="E63" s="31" t="s">
        <v>987</v>
      </c>
      <c r="F63" s="16"/>
      <c r="G63" s="16"/>
      <c r="H63" s="16"/>
      <c r="I63" s="22" t="s">
        <v>993</v>
      </c>
    </row>
    <row r="64" spans="1:9" ht="45.75">
      <c r="A64" s="16" t="s">
        <v>171</v>
      </c>
      <c r="B64" s="13">
        <v>45314</v>
      </c>
      <c r="C64" s="8" t="s">
        <v>11</v>
      </c>
      <c r="D64" s="22" t="s">
        <v>947</v>
      </c>
      <c r="E64" s="31" t="s">
        <v>948</v>
      </c>
      <c r="F64" s="22"/>
      <c r="G64" s="16"/>
      <c r="H64" s="16"/>
      <c r="I64" s="274" t="s">
        <v>994</v>
      </c>
    </row>
    <row r="65" spans="1:9">
      <c r="A65" s="16" t="s">
        <v>90</v>
      </c>
      <c r="B65" s="133">
        <v>45314</v>
      </c>
      <c r="C65" s="8" t="s">
        <v>11</v>
      </c>
      <c r="D65" s="22" t="s">
        <v>947</v>
      </c>
      <c r="E65" s="16" t="s">
        <v>995</v>
      </c>
      <c r="F65" s="256" t="s">
        <v>991</v>
      </c>
      <c r="G65" s="16"/>
      <c r="H65" s="16"/>
      <c r="I65" s="16" t="s">
        <v>995</v>
      </c>
    </row>
    <row r="66" spans="1:9" ht="45.75">
      <c r="A66" s="16" t="s">
        <v>171</v>
      </c>
      <c r="B66" s="13">
        <v>45315</v>
      </c>
      <c r="C66" s="8" t="s">
        <v>11</v>
      </c>
      <c r="D66" s="22" t="s">
        <v>947</v>
      </c>
      <c r="E66" s="31" t="s">
        <v>948</v>
      </c>
      <c r="F66" s="22"/>
      <c r="G66" s="16"/>
      <c r="H66" s="16"/>
      <c r="I66" s="274" t="s">
        <v>996</v>
      </c>
    </row>
    <row r="67" spans="1:9" ht="30.75">
      <c r="A67" s="16" t="s">
        <v>105</v>
      </c>
      <c r="B67" s="133">
        <v>45315</v>
      </c>
      <c r="C67" s="8" t="s">
        <v>11</v>
      </c>
      <c r="D67" s="22" t="s">
        <v>947</v>
      </c>
      <c r="E67" s="22" t="s">
        <v>948</v>
      </c>
      <c r="F67" s="256" t="s">
        <v>991</v>
      </c>
      <c r="G67" s="16"/>
      <c r="H67" s="16"/>
      <c r="I67" s="275" t="s">
        <v>997</v>
      </c>
    </row>
    <row r="68" spans="1:9" ht="60.75">
      <c r="A68" s="16" t="s">
        <v>381</v>
      </c>
      <c r="B68" s="133">
        <v>45315</v>
      </c>
      <c r="C68" s="8" t="s">
        <v>11</v>
      </c>
      <c r="D68" s="22" t="s">
        <v>947</v>
      </c>
      <c r="E68" s="31" t="s">
        <v>987</v>
      </c>
      <c r="F68" s="16"/>
      <c r="G68" s="16"/>
      <c r="H68" s="16"/>
      <c r="I68" s="22" t="s">
        <v>998</v>
      </c>
    </row>
    <row r="69" spans="1:9" ht="30.75">
      <c r="A69" s="16" t="s">
        <v>90</v>
      </c>
      <c r="B69" s="133">
        <v>45315</v>
      </c>
      <c r="C69" s="8" t="s">
        <v>11</v>
      </c>
      <c r="D69" s="22" t="s">
        <v>947</v>
      </c>
      <c r="E69" s="16" t="s">
        <v>999</v>
      </c>
      <c r="F69" s="256" t="s">
        <v>991</v>
      </c>
      <c r="G69" s="16"/>
      <c r="H69" s="16"/>
      <c r="I69" s="22" t="s">
        <v>1000</v>
      </c>
    </row>
    <row r="70" spans="1:9" ht="30.75">
      <c r="A70" s="16" t="s">
        <v>171</v>
      </c>
      <c r="B70" s="13">
        <v>45316</v>
      </c>
      <c r="C70" s="8" t="s">
        <v>11</v>
      </c>
      <c r="D70" s="22" t="s">
        <v>1001</v>
      </c>
      <c r="E70" s="31" t="s">
        <v>1002</v>
      </c>
      <c r="F70" s="22"/>
      <c r="G70" s="16"/>
      <c r="H70" s="16"/>
      <c r="I70" s="274" t="s">
        <v>1003</v>
      </c>
    </row>
    <row r="71" spans="1:9" ht="45.75">
      <c r="A71" s="16" t="s">
        <v>381</v>
      </c>
      <c r="B71" s="133">
        <v>45316</v>
      </c>
      <c r="C71" s="8" t="s">
        <v>22</v>
      </c>
      <c r="D71" s="22" t="s">
        <v>1004</v>
      </c>
      <c r="E71" s="31" t="s">
        <v>1005</v>
      </c>
      <c r="F71" s="16"/>
      <c r="G71" s="16"/>
      <c r="H71" s="16"/>
      <c r="I71" s="22" t="s">
        <v>1006</v>
      </c>
    </row>
    <row r="72" spans="1:9" ht="30.75">
      <c r="A72" s="16" t="s">
        <v>105</v>
      </c>
      <c r="B72" s="133">
        <v>45316</v>
      </c>
      <c r="C72" s="8" t="s">
        <v>11</v>
      </c>
      <c r="D72" s="22" t="s">
        <v>947</v>
      </c>
      <c r="E72" s="22" t="s">
        <v>948</v>
      </c>
      <c r="F72" s="279" t="s">
        <v>991</v>
      </c>
      <c r="G72" s="16"/>
      <c r="H72" s="16"/>
      <c r="I72" s="275" t="s">
        <v>1007</v>
      </c>
    </row>
    <row r="73" spans="1:9" ht="30.75">
      <c r="A73" s="16" t="s">
        <v>90</v>
      </c>
      <c r="B73" s="133">
        <v>45316</v>
      </c>
      <c r="C73" s="8" t="s">
        <v>11</v>
      </c>
      <c r="D73" s="22" t="s">
        <v>947</v>
      </c>
      <c r="E73" s="16" t="s">
        <v>1008</v>
      </c>
      <c r="F73" s="278" t="s">
        <v>991</v>
      </c>
      <c r="G73" s="16"/>
      <c r="H73" s="16"/>
      <c r="I73" s="22" t="s">
        <v>1009</v>
      </c>
    </row>
    <row r="74" spans="1:9" ht="30.75">
      <c r="A74" s="16" t="s">
        <v>171</v>
      </c>
      <c r="B74" s="13">
        <v>45320</v>
      </c>
      <c r="C74" s="8" t="s">
        <v>11</v>
      </c>
      <c r="D74" s="22" t="s">
        <v>1001</v>
      </c>
      <c r="E74" s="31" t="s">
        <v>1002</v>
      </c>
      <c r="F74" s="22"/>
      <c r="G74" s="16"/>
      <c r="H74" s="16"/>
      <c r="I74" s="274" t="s">
        <v>1010</v>
      </c>
    </row>
    <row r="75" spans="1:9" ht="30.75">
      <c r="A75" s="16" t="s">
        <v>105</v>
      </c>
      <c r="B75" s="133">
        <v>45320</v>
      </c>
      <c r="C75" s="8" t="s">
        <v>11</v>
      </c>
      <c r="D75" s="22" t="s">
        <v>947</v>
      </c>
      <c r="E75" s="22" t="s">
        <v>948</v>
      </c>
      <c r="F75" s="279" t="s">
        <v>991</v>
      </c>
      <c r="G75" s="16"/>
      <c r="H75" s="16"/>
      <c r="I75" s="275" t="s">
        <v>1011</v>
      </c>
    </row>
    <row r="76" spans="1:9" ht="60.75">
      <c r="A76" s="16" t="s">
        <v>381</v>
      </c>
      <c r="B76" s="133">
        <v>45320</v>
      </c>
      <c r="C76" s="8" t="s">
        <v>22</v>
      </c>
      <c r="D76" s="22" t="s">
        <v>1004</v>
      </c>
      <c r="E76" s="31" t="s">
        <v>1005</v>
      </c>
      <c r="F76" s="16"/>
      <c r="G76" s="16"/>
      <c r="H76" s="16"/>
      <c r="I76" s="22" t="s">
        <v>1012</v>
      </c>
    </row>
    <row r="77" spans="1:9" ht="30.75">
      <c r="A77" s="16" t="s">
        <v>90</v>
      </c>
      <c r="B77" s="133">
        <v>45320</v>
      </c>
      <c r="C77" s="8" t="s">
        <v>11</v>
      </c>
      <c r="D77" s="22" t="s">
        <v>947</v>
      </c>
      <c r="E77" s="16" t="s">
        <v>1013</v>
      </c>
      <c r="F77" s="278" t="s">
        <v>991</v>
      </c>
      <c r="G77" s="16"/>
      <c r="H77" s="16"/>
      <c r="I77" s="22" t="s">
        <v>1000</v>
      </c>
    </row>
    <row r="78" spans="1:9" ht="60.75">
      <c r="A78" s="16" t="s">
        <v>381</v>
      </c>
      <c r="B78" s="133">
        <v>45321</v>
      </c>
      <c r="C78" s="8" t="s">
        <v>22</v>
      </c>
      <c r="D78" s="22" t="s">
        <v>1004</v>
      </c>
      <c r="E78" s="31" t="s">
        <v>1005</v>
      </c>
      <c r="F78" s="16"/>
      <c r="G78" s="16"/>
      <c r="H78" s="16"/>
      <c r="I78" s="22" t="s">
        <v>1014</v>
      </c>
    </row>
    <row r="79" spans="1:9" ht="30.75">
      <c r="A79" s="16" t="s">
        <v>171</v>
      </c>
      <c r="B79" s="13">
        <v>45321</v>
      </c>
      <c r="C79" s="8" t="s">
        <v>11</v>
      </c>
      <c r="D79" s="22" t="s">
        <v>1001</v>
      </c>
      <c r="E79" s="31" t="s">
        <v>1002</v>
      </c>
      <c r="F79" s="22"/>
      <c r="G79" s="16"/>
      <c r="H79" s="16"/>
      <c r="I79" s="274" t="s">
        <v>1015</v>
      </c>
    </row>
    <row r="80" spans="1:9" ht="76.5">
      <c r="A80" s="16" t="s">
        <v>90</v>
      </c>
      <c r="B80" s="133">
        <v>45321</v>
      </c>
      <c r="C80" s="8" t="s">
        <v>11</v>
      </c>
      <c r="D80" s="22" t="s">
        <v>947</v>
      </c>
      <c r="E80" s="22" t="s">
        <v>1016</v>
      </c>
      <c r="F80" s="278" t="s">
        <v>991</v>
      </c>
      <c r="G80" s="16"/>
      <c r="H80" s="16"/>
      <c r="I80" s="22" t="s">
        <v>1017</v>
      </c>
    </row>
    <row r="81" spans="1:9" ht="30.75">
      <c r="A81" s="16" t="s">
        <v>105</v>
      </c>
      <c r="B81" s="13">
        <v>45322</v>
      </c>
      <c r="C81" s="8" t="s">
        <v>11</v>
      </c>
      <c r="D81" s="22" t="s">
        <v>1001</v>
      </c>
      <c r="E81" s="31" t="s">
        <v>1002</v>
      </c>
      <c r="F81" s="22"/>
      <c r="G81" s="16"/>
      <c r="H81" s="16"/>
      <c r="I81" s="275" t="s">
        <v>1018</v>
      </c>
    </row>
    <row r="82" spans="1:9" ht="76.5">
      <c r="A82" s="16" t="s">
        <v>381</v>
      </c>
      <c r="B82" s="13">
        <v>45322</v>
      </c>
      <c r="C82" s="8" t="s">
        <v>18</v>
      </c>
      <c r="D82" s="22" t="s">
        <v>1019</v>
      </c>
      <c r="E82" s="31" t="s">
        <v>1020</v>
      </c>
      <c r="F82" s="16"/>
      <c r="G82" s="16"/>
      <c r="H82" s="16"/>
      <c r="I82" s="22" t="s">
        <v>1021</v>
      </c>
    </row>
    <row r="83" spans="1:9" ht="45.75">
      <c r="A83" s="16" t="s">
        <v>171</v>
      </c>
      <c r="B83" s="13">
        <v>45322</v>
      </c>
      <c r="C83" s="8" t="s">
        <v>11</v>
      </c>
      <c r="D83" s="22" t="s">
        <v>1001</v>
      </c>
      <c r="E83" s="31" t="s">
        <v>1002</v>
      </c>
      <c r="F83" s="22"/>
      <c r="G83" s="16"/>
      <c r="H83" s="16"/>
      <c r="I83" s="274" t="s">
        <v>1022</v>
      </c>
    </row>
    <row r="84" spans="1:9">
      <c r="A84" s="16" t="s">
        <v>90</v>
      </c>
      <c r="B84" s="13">
        <v>45322</v>
      </c>
      <c r="C84" s="16" t="s">
        <v>11</v>
      </c>
      <c r="D84" s="22" t="s">
        <v>947</v>
      </c>
      <c r="E84" s="16" t="s">
        <v>1023</v>
      </c>
      <c r="F84" s="16" t="s">
        <v>1024</v>
      </c>
      <c r="G84" s="16"/>
      <c r="H84" s="16"/>
      <c r="I84" s="16" t="s">
        <v>1025</v>
      </c>
    </row>
    <row r="85" spans="1:9">
      <c r="A85" s="16"/>
      <c r="B85" s="16"/>
      <c r="C85" s="16"/>
      <c r="D85" s="16"/>
      <c r="E85" s="16"/>
      <c r="F85" s="16"/>
      <c r="G85" s="16"/>
      <c r="H85" s="16"/>
      <c r="I85" s="16"/>
    </row>
    <row r="86" spans="1:9">
      <c r="A86" s="16"/>
      <c r="B86" s="16"/>
      <c r="C86" s="16"/>
      <c r="D86" s="16"/>
      <c r="E86" s="16"/>
      <c r="F86" s="16"/>
      <c r="G86" s="16"/>
      <c r="H86" s="16"/>
      <c r="I86" s="16"/>
    </row>
    <row r="87" spans="1:9">
      <c r="A87" s="16"/>
      <c r="B87" s="16"/>
      <c r="C87" s="16"/>
      <c r="D87" s="16"/>
      <c r="E87" s="16"/>
      <c r="F87" s="16"/>
      <c r="G87" s="16"/>
      <c r="H87" s="16"/>
      <c r="I87" s="16"/>
    </row>
    <row r="88" spans="1:9">
      <c r="A88" s="16"/>
      <c r="B88" s="16"/>
      <c r="C88" s="16"/>
      <c r="D88" s="16"/>
      <c r="E88" s="16"/>
      <c r="F88" s="16"/>
      <c r="G88" s="16"/>
      <c r="H88" s="16"/>
      <c r="I88" s="16"/>
    </row>
    <row r="89" spans="1:9">
      <c r="A89" s="16"/>
      <c r="B89" s="16"/>
      <c r="C89" s="16"/>
      <c r="D89" s="16"/>
      <c r="E89" s="16"/>
      <c r="F89" s="16"/>
      <c r="G89" s="16"/>
      <c r="H89" s="16"/>
      <c r="I89" s="16"/>
    </row>
    <row r="90" spans="1:9">
      <c r="A90" s="16"/>
      <c r="B90" s="16"/>
      <c r="C90" s="16"/>
      <c r="D90" s="16"/>
      <c r="E90" s="16"/>
      <c r="F90" s="16"/>
      <c r="G90" s="16"/>
      <c r="H90" s="16"/>
      <c r="I90" s="16"/>
    </row>
    <row r="91" spans="1:9">
      <c r="A91" s="16"/>
      <c r="B91" s="16"/>
      <c r="C91" s="16"/>
      <c r="D91" s="16"/>
      <c r="E91" s="16"/>
      <c r="F91" s="16"/>
      <c r="G91" s="16"/>
      <c r="H91" s="16"/>
      <c r="I91" s="16"/>
    </row>
    <row r="92" spans="1:9">
      <c r="A92" s="16"/>
      <c r="B92" s="16"/>
      <c r="C92" s="16"/>
      <c r="D92" s="16"/>
      <c r="E92" s="16"/>
      <c r="F92" s="16"/>
      <c r="G92" s="16"/>
      <c r="H92" s="16"/>
      <c r="I92" s="16"/>
    </row>
    <row r="93" spans="1:9">
      <c r="A93" s="16"/>
      <c r="B93" s="16"/>
      <c r="C93" s="16"/>
      <c r="D93" s="16"/>
      <c r="E93" s="16"/>
      <c r="F93" s="16"/>
      <c r="G93" s="16"/>
      <c r="H93" s="16"/>
      <c r="I93" s="16"/>
    </row>
    <row r="94" spans="1:9">
      <c r="A94" s="16"/>
      <c r="B94" s="16"/>
      <c r="C94" s="16"/>
      <c r="D94" s="16"/>
      <c r="E94" s="16"/>
      <c r="F94" s="16"/>
      <c r="G94" s="16"/>
      <c r="H94" s="16"/>
      <c r="I94" s="16"/>
    </row>
    <row r="95" spans="1:9">
      <c r="A95" s="16"/>
      <c r="B95" s="16"/>
      <c r="C95" s="16"/>
      <c r="D95" s="16"/>
      <c r="E95" s="16"/>
      <c r="F95" s="16"/>
      <c r="G95" s="16"/>
      <c r="H95" s="16"/>
      <c r="I95" s="16"/>
    </row>
    <row r="96" spans="1:9">
      <c r="A96" s="16"/>
      <c r="B96" s="16"/>
      <c r="C96" s="16"/>
      <c r="D96" s="16"/>
      <c r="E96" s="16"/>
      <c r="F96" s="16"/>
      <c r="G96" s="16"/>
      <c r="H96" s="16"/>
      <c r="I96" s="16"/>
    </row>
    <row r="97" spans="1:9">
      <c r="A97" s="16"/>
      <c r="B97" s="16"/>
      <c r="C97" s="16"/>
      <c r="D97" s="16"/>
      <c r="E97" s="16"/>
      <c r="F97" s="16"/>
      <c r="G97" s="16"/>
      <c r="H97" s="16"/>
      <c r="I97" s="16"/>
    </row>
    <row r="98" spans="1:9">
      <c r="A98" s="16"/>
      <c r="B98" s="16"/>
      <c r="C98" s="16"/>
      <c r="D98" s="16"/>
      <c r="E98" s="16"/>
      <c r="F98" s="16"/>
      <c r="G98" s="16"/>
      <c r="H98" s="16"/>
      <c r="I98" s="16"/>
    </row>
    <row r="99" spans="1:9">
      <c r="A99" s="16"/>
      <c r="B99" s="16"/>
      <c r="C99" s="16"/>
      <c r="D99" s="16"/>
      <c r="E99" s="16"/>
      <c r="F99" s="16"/>
      <c r="G99" s="16"/>
      <c r="H99" s="16"/>
      <c r="I99" s="16"/>
    </row>
    <row r="100" spans="1:9">
      <c r="A100" s="16"/>
      <c r="B100" s="16"/>
      <c r="C100" s="16"/>
      <c r="D100" s="16"/>
      <c r="E100" s="16"/>
      <c r="F100" s="16"/>
      <c r="G100" s="16"/>
      <c r="H100" s="16"/>
      <c r="I100" s="16"/>
    </row>
    <row r="101" spans="1:9">
      <c r="A101" s="16"/>
      <c r="B101" s="16"/>
      <c r="C101" s="16"/>
      <c r="D101" s="16"/>
      <c r="E101" s="16"/>
      <c r="F101" s="16"/>
      <c r="G101" s="16"/>
      <c r="H101" s="16"/>
      <c r="I101" s="16"/>
    </row>
    <row r="102" spans="1:9">
      <c r="A102" s="16"/>
      <c r="B102" s="16"/>
      <c r="C102" s="16"/>
      <c r="D102" s="16"/>
      <c r="E102" s="16"/>
      <c r="F102" s="16"/>
      <c r="G102" s="16"/>
      <c r="H102" s="16"/>
      <c r="I102" s="16"/>
    </row>
    <row r="103" spans="1:9">
      <c r="A103" s="16"/>
      <c r="B103" s="16"/>
      <c r="C103" s="16"/>
      <c r="D103" s="16"/>
      <c r="E103" s="16"/>
      <c r="F103" s="16"/>
      <c r="G103" s="16"/>
      <c r="H103" s="16"/>
      <c r="I103" s="16"/>
    </row>
    <row r="104" spans="1:9">
      <c r="A104" s="16"/>
      <c r="B104" s="16"/>
      <c r="C104" s="16"/>
      <c r="D104" s="16"/>
      <c r="E104" s="16"/>
      <c r="F104" s="16"/>
      <c r="G104" s="16"/>
      <c r="H104" s="16"/>
      <c r="I104" s="16"/>
    </row>
    <row r="105" spans="1:9">
      <c r="A105" s="16"/>
      <c r="B105" s="16"/>
      <c r="C105" s="16"/>
      <c r="D105" s="16"/>
      <c r="E105" s="16"/>
      <c r="F105" s="16"/>
      <c r="G105" s="16"/>
      <c r="H105" s="16"/>
      <c r="I105" s="16"/>
    </row>
    <row r="106" spans="1:9">
      <c r="A106" s="16"/>
      <c r="B106" s="16"/>
      <c r="C106" s="16"/>
      <c r="D106" s="16"/>
      <c r="E106" s="16"/>
      <c r="F106" s="16"/>
      <c r="G106" s="16"/>
      <c r="H106" s="16"/>
      <c r="I106" s="16"/>
    </row>
    <row r="107" spans="1:9">
      <c r="A107" s="16"/>
      <c r="B107" s="16"/>
      <c r="C107" s="16"/>
      <c r="D107" s="16"/>
      <c r="E107" s="16"/>
      <c r="F107" s="16"/>
      <c r="G107" s="16"/>
      <c r="H107" s="16"/>
      <c r="I107" s="16"/>
    </row>
    <row r="108" spans="1:9">
      <c r="A108" s="16"/>
      <c r="B108" s="16"/>
      <c r="C108" s="16"/>
      <c r="D108" s="16"/>
      <c r="E108" s="16"/>
      <c r="F108" s="16"/>
      <c r="G108" s="16"/>
      <c r="H108" s="16"/>
      <c r="I108" s="16"/>
    </row>
    <row r="109" spans="1:9">
      <c r="A109" s="16"/>
      <c r="B109" s="16"/>
      <c r="C109" s="16"/>
      <c r="D109" s="16"/>
      <c r="E109" s="16"/>
      <c r="F109" s="16"/>
      <c r="G109" s="16"/>
      <c r="H109" s="16"/>
      <c r="I109" s="16"/>
    </row>
    <row r="110" spans="1:9">
      <c r="A110" s="16"/>
      <c r="B110" s="16"/>
      <c r="C110" s="16"/>
      <c r="D110" s="16"/>
      <c r="E110" s="16"/>
      <c r="F110" s="16"/>
      <c r="G110" s="16"/>
      <c r="H110" s="16"/>
      <c r="I110" s="16"/>
    </row>
    <row r="111" spans="1:9">
      <c r="A111" s="16"/>
      <c r="B111" s="16"/>
      <c r="C111" s="16"/>
      <c r="D111" s="16"/>
      <c r="E111" s="16"/>
      <c r="F111" s="16"/>
      <c r="G111" s="16"/>
      <c r="H111" s="16"/>
      <c r="I111" s="16"/>
    </row>
    <row r="112" spans="1:9">
      <c r="A112" s="16"/>
      <c r="B112" s="16"/>
      <c r="C112" s="16"/>
      <c r="D112" s="16"/>
      <c r="E112" s="16"/>
      <c r="F112" s="16"/>
      <c r="G112" s="16"/>
      <c r="H112" s="16"/>
      <c r="I112" s="16"/>
    </row>
    <row r="113" spans="1:9">
      <c r="A113" s="16"/>
      <c r="B113" s="16"/>
      <c r="C113" s="16"/>
      <c r="D113" s="16"/>
      <c r="E113" s="16"/>
      <c r="F113" s="16"/>
      <c r="G113" s="16"/>
      <c r="H113" s="16"/>
      <c r="I113" s="16"/>
    </row>
    <row r="114" spans="1:9">
      <c r="A114" s="16"/>
      <c r="B114" s="16"/>
      <c r="C114" s="16"/>
      <c r="D114" s="16"/>
      <c r="E114" s="16"/>
      <c r="F114" s="16"/>
      <c r="G114" s="16"/>
      <c r="H114" s="16"/>
      <c r="I114" s="16"/>
    </row>
    <row r="115" spans="1:9">
      <c r="A115" s="16"/>
      <c r="B115" s="16"/>
      <c r="C115" s="16"/>
      <c r="D115" s="16"/>
      <c r="E115" s="16"/>
      <c r="F115" s="16"/>
      <c r="G115" s="16"/>
      <c r="H115" s="16"/>
      <c r="I115" s="16"/>
    </row>
    <row r="116" spans="1:9">
      <c r="A116" s="16"/>
      <c r="B116" s="16"/>
      <c r="C116" s="16"/>
      <c r="D116" s="16"/>
      <c r="E116" s="16"/>
      <c r="F116" s="16"/>
      <c r="G116" s="16"/>
      <c r="H116" s="16"/>
      <c r="I116" s="16"/>
    </row>
    <row r="117" spans="1:9">
      <c r="A117" s="16"/>
      <c r="B117" s="16"/>
      <c r="C117" s="16"/>
      <c r="D117" s="16"/>
      <c r="E117" s="16"/>
      <c r="F117" s="16"/>
      <c r="G117" s="16"/>
      <c r="H117" s="16"/>
      <c r="I117" s="16"/>
    </row>
    <row r="118" spans="1:9">
      <c r="A118" s="16"/>
      <c r="B118" s="16"/>
      <c r="C118" s="16"/>
      <c r="D118" s="16"/>
      <c r="E118" s="16"/>
      <c r="F118" s="16"/>
      <c r="G118" s="16"/>
      <c r="H118" s="16"/>
      <c r="I118" s="16"/>
    </row>
    <row r="119" spans="1:9">
      <c r="A119" s="16"/>
      <c r="B119" s="16"/>
      <c r="C119" s="16"/>
      <c r="D119" s="16"/>
      <c r="E119" s="16"/>
      <c r="F119" s="16"/>
      <c r="G119" s="16"/>
      <c r="H119" s="16"/>
      <c r="I119" s="16"/>
    </row>
    <row r="120" spans="1:9">
      <c r="A120" s="16"/>
      <c r="B120" s="16"/>
      <c r="C120" s="16"/>
      <c r="D120" s="16"/>
      <c r="E120" s="16"/>
      <c r="F120" s="16"/>
      <c r="G120" s="16"/>
      <c r="H120" s="16"/>
      <c r="I120" s="16"/>
    </row>
    <row r="121" spans="1:9">
      <c r="A121" s="16"/>
      <c r="B121" s="16"/>
      <c r="C121" s="16"/>
      <c r="D121" s="16"/>
      <c r="E121" s="16"/>
      <c r="F121" s="16"/>
      <c r="G121" s="16"/>
      <c r="H121" s="16"/>
      <c r="I121" s="16"/>
    </row>
    <row r="122" spans="1:9">
      <c r="A122" s="16"/>
      <c r="B122" s="16"/>
      <c r="C122" s="16"/>
      <c r="D122" s="16"/>
      <c r="E122" s="16"/>
      <c r="F122" s="16"/>
      <c r="G122" s="16"/>
      <c r="H122" s="16"/>
      <c r="I122" s="16"/>
    </row>
  </sheetData>
  <mergeCells count="13">
    <mergeCell ref="B25:B26"/>
    <mergeCell ref="A25:A26"/>
    <mergeCell ref="C25:C26"/>
    <mergeCell ref="E25:E26"/>
    <mergeCell ref="I25:I26"/>
    <mergeCell ref="E8:E9"/>
    <mergeCell ref="F8:F9"/>
    <mergeCell ref="A8:A9"/>
    <mergeCell ref="B8:B9"/>
    <mergeCell ref="A11:A12"/>
    <mergeCell ref="B11:B12"/>
    <mergeCell ref="E11:E12"/>
    <mergeCell ref="F11:F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B954B-0138-4C5D-A0F2-0B9F40B18B81}">
  <dimension ref="A1:I106"/>
  <sheetViews>
    <sheetView showGridLines="0" tabSelected="1" topLeftCell="A43" workbookViewId="0">
      <selection activeCell="H50" sqref="H50"/>
    </sheetView>
  </sheetViews>
  <sheetFormatPr defaultColWidth="9.140625" defaultRowHeight="15"/>
  <cols>
    <col min="1" max="1" width="6.85546875" style="15" bestFit="1" customWidth="1"/>
    <col min="2" max="2" width="10.42578125" style="15" bestFit="1" customWidth="1"/>
    <col min="3" max="3" width="9.140625" style="15"/>
    <col min="4" max="4" width="25.28515625" style="15" customWidth="1"/>
    <col min="5" max="5" width="38.140625" style="15" customWidth="1"/>
    <col min="6" max="6" width="40.7109375" style="15" customWidth="1"/>
    <col min="7" max="8" width="9.140625" style="15"/>
    <col min="9" max="9" width="60.85546875" style="15" customWidth="1"/>
    <col min="10" max="16384" width="9.140625" style="15"/>
  </cols>
  <sheetData>
    <row r="1" spans="1:9" ht="30.75">
      <c r="A1" s="126" t="s">
        <v>84</v>
      </c>
      <c r="B1" s="126" t="s">
        <v>85</v>
      </c>
      <c r="C1" s="126" t="s">
        <v>86</v>
      </c>
      <c r="D1" s="126" t="s">
        <v>1</v>
      </c>
      <c r="E1" s="17" t="s">
        <v>2</v>
      </c>
      <c r="F1" s="237" t="s">
        <v>87</v>
      </c>
      <c r="G1" s="126" t="s">
        <v>88</v>
      </c>
      <c r="H1" s="126" t="s">
        <v>89</v>
      </c>
      <c r="I1" s="17" t="s">
        <v>10</v>
      </c>
    </row>
    <row r="2" spans="1:9" ht="30.75">
      <c r="A2" s="16" t="s">
        <v>171</v>
      </c>
      <c r="B2" s="13">
        <v>45323</v>
      </c>
      <c r="C2" s="8" t="s">
        <v>11</v>
      </c>
      <c r="D2" s="22" t="s">
        <v>1001</v>
      </c>
      <c r="E2" s="14" t="s">
        <v>1002</v>
      </c>
      <c r="F2" s="22"/>
      <c r="G2" s="16"/>
      <c r="H2" s="16"/>
      <c r="I2" s="225" t="s">
        <v>1026</v>
      </c>
    </row>
    <row r="3" spans="1:9" ht="45.75">
      <c r="A3" s="16" t="s">
        <v>381</v>
      </c>
      <c r="B3" s="13">
        <v>45323</v>
      </c>
      <c r="C3" s="8" t="s">
        <v>160</v>
      </c>
      <c r="D3" s="22" t="s">
        <v>1027</v>
      </c>
      <c r="E3" s="31" t="s">
        <v>1028</v>
      </c>
      <c r="F3" s="16"/>
      <c r="G3" s="16"/>
      <c r="H3" s="16"/>
      <c r="I3" s="22" t="s">
        <v>1029</v>
      </c>
    </row>
    <row r="4" spans="1:9" ht="30.75">
      <c r="A4" s="16" t="s">
        <v>105</v>
      </c>
      <c r="B4" s="13">
        <v>45323</v>
      </c>
      <c r="C4" s="8" t="s">
        <v>18</v>
      </c>
      <c r="D4" s="22" t="s">
        <v>1030</v>
      </c>
      <c r="E4" s="31" t="s">
        <v>1020</v>
      </c>
      <c r="F4" s="44" t="s">
        <v>1030</v>
      </c>
      <c r="G4" s="16"/>
      <c r="H4" s="16"/>
      <c r="I4" s="275" t="s">
        <v>1031</v>
      </c>
    </row>
    <row r="5" spans="1:9" ht="30.75">
      <c r="A5" s="16" t="s">
        <v>105</v>
      </c>
      <c r="B5" s="13">
        <v>45324</v>
      </c>
      <c r="C5" s="8" t="s">
        <v>18</v>
      </c>
      <c r="D5" s="22" t="s">
        <v>1030</v>
      </c>
      <c r="E5" s="31" t="s">
        <v>1032</v>
      </c>
      <c r="F5" s="44" t="s">
        <v>1030</v>
      </c>
      <c r="G5" s="16"/>
      <c r="H5" s="16"/>
      <c r="I5" s="275" t="s">
        <v>1033</v>
      </c>
    </row>
    <row r="6" spans="1:9" ht="45.75">
      <c r="A6" s="16" t="s">
        <v>381</v>
      </c>
      <c r="B6" s="13">
        <v>45324</v>
      </c>
      <c r="C6" s="8" t="s">
        <v>18</v>
      </c>
      <c r="D6" s="22" t="s">
        <v>1034</v>
      </c>
      <c r="E6" s="31" t="s">
        <v>1028</v>
      </c>
      <c r="F6" s="16"/>
      <c r="G6" s="16"/>
      <c r="H6" s="16"/>
      <c r="I6" s="22" t="s">
        <v>1035</v>
      </c>
    </row>
    <row r="7" spans="1:9" ht="30.75">
      <c r="A7" s="16" t="s">
        <v>90</v>
      </c>
      <c r="B7" s="13">
        <v>45323</v>
      </c>
      <c r="C7" s="8" t="s">
        <v>11</v>
      </c>
      <c r="D7" s="22" t="s">
        <v>1036</v>
      </c>
      <c r="E7" s="31" t="s">
        <v>1037</v>
      </c>
      <c r="F7" s="278" t="s">
        <v>991</v>
      </c>
      <c r="G7" s="16"/>
      <c r="H7" s="16"/>
      <c r="I7" s="22" t="s">
        <v>1038</v>
      </c>
    </row>
    <row r="8" spans="1:9" ht="30.75">
      <c r="A8" s="16" t="s">
        <v>90</v>
      </c>
      <c r="B8" s="13">
        <v>45324</v>
      </c>
      <c r="C8" s="8" t="s">
        <v>11</v>
      </c>
      <c r="D8" s="22" t="s">
        <v>1036</v>
      </c>
      <c r="E8" s="31" t="s">
        <v>1037</v>
      </c>
      <c r="F8" s="278" t="s">
        <v>991</v>
      </c>
      <c r="G8" s="16"/>
      <c r="H8" s="16"/>
      <c r="I8" s="22" t="s">
        <v>1039</v>
      </c>
    </row>
    <row r="9" spans="1:9" ht="45.75">
      <c r="A9" s="16" t="s">
        <v>171</v>
      </c>
      <c r="B9" s="13">
        <v>45327</v>
      </c>
      <c r="C9" s="8" t="s">
        <v>11</v>
      </c>
      <c r="D9" s="22" t="s">
        <v>1001</v>
      </c>
      <c r="E9" s="14" t="s">
        <v>1002</v>
      </c>
      <c r="F9" s="22"/>
      <c r="G9" s="16"/>
      <c r="H9" s="16"/>
      <c r="I9" s="225" t="s">
        <v>1040</v>
      </c>
    </row>
    <row r="10" spans="1:9" ht="30.75">
      <c r="A10" s="16" t="s">
        <v>381</v>
      </c>
      <c r="B10" s="13">
        <v>45327</v>
      </c>
      <c r="C10" s="8" t="s">
        <v>11</v>
      </c>
      <c r="D10" s="22" t="s">
        <v>1036</v>
      </c>
      <c r="E10" s="31" t="s">
        <v>1041</v>
      </c>
      <c r="F10" s="278" t="s">
        <v>991</v>
      </c>
      <c r="G10" s="16"/>
      <c r="H10" s="16"/>
      <c r="I10" s="22" t="s">
        <v>1042</v>
      </c>
    </row>
    <row r="11" spans="1:9" ht="60.75">
      <c r="A11" s="16" t="s">
        <v>90</v>
      </c>
      <c r="B11" s="13">
        <v>45327</v>
      </c>
      <c r="C11" s="8" t="s">
        <v>11</v>
      </c>
      <c r="D11" s="22" t="s">
        <v>1036</v>
      </c>
      <c r="E11" s="31" t="s">
        <v>1043</v>
      </c>
      <c r="F11" s="278" t="s">
        <v>991</v>
      </c>
      <c r="G11" s="16"/>
      <c r="H11" s="16"/>
      <c r="I11" s="22" t="s">
        <v>1044</v>
      </c>
    </row>
    <row r="12" spans="1:9" ht="30.75">
      <c r="A12" s="16" t="s">
        <v>171</v>
      </c>
      <c r="B12" s="13">
        <v>45328</v>
      </c>
      <c r="C12" s="8" t="s">
        <v>11</v>
      </c>
      <c r="D12" s="22" t="s">
        <v>1001</v>
      </c>
      <c r="E12" s="14" t="s">
        <v>1002</v>
      </c>
      <c r="F12" s="22"/>
      <c r="G12" s="16"/>
      <c r="H12" s="16"/>
      <c r="I12" s="225" t="s">
        <v>1045</v>
      </c>
    </row>
    <row r="13" spans="1:9">
      <c r="A13" s="16" t="s">
        <v>105</v>
      </c>
      <c r="B13" s="133">
        <v>45328</v>
      </c>
      <c r="C13" s="16" t="s">
        <v>18</v>
      </c>
      <c r="D13" s="16" t="s">
        <v>1030</v>
      </c>
      <c r="E13" s="16" t="s">
        <v>1046</v>
      </c>
      <c r="F13" s="16" t="s">
        <v>1047</v>
      </c>
      <c r="G13" s="16"/>
      <c r="H13" s="16"/>
      <c r="I13" s="16" t="s">
        <v>1048</v>
      </c>
    </row>
    <row r="14" spans="1:9" ht="30.75">
      <c r="A14" s="16" t="s">
        <v>381</v>
      </c>
      <c r="B14" s="133">
        <v>45328</v>
      </c>
      <c r="C14" s="8" t="s">
        <v>11</v>
      </c>
      <c r="D14" s="22" t="s">
        <v>1036</v>
      </c>
      <c r="E14" s="31" t="s">
        <v>1041</v>
      </c>
      <c r="F14" s="278" t="s">
        <v>991</v>
      </c>
      <c r="G14" s="16"/>
      <c r="H14" s="16"/>
      <c r="I14" s="22" t="s">
        <v>1049</v>
      </c>
    </row>
    <row r="15" spans="1:9" ht="60.75">
      <c r="A15" s="16" t="s">
        <v>90</v>
      </c>
      <c r="B15" s="13">
        <v>45328</v>
      </c>
      <c r="C15" s="8" t="s">
        <v>11</v>
      </c>
      <c r="D15" s="22" t="s">
        <v>1036</v>
      </c>
      <c r="E15" s="31" t="s">
        <v>1050</v>
      </c>
      <c r="F15" s="278" t="s">
        <v>991</v>
      </c>
      <c r="G15" s="16"/>
      <c r="H15" s="16"/>
      <c r="I15" s="22" t="s">
        <v>1051</v>
      </c>
    </row>
    <row r="16" spans="1:9" ht="30.75">
      <c r="A16" s="16" t="s">
        <v>171</v>
      </c>
      <c r="B16" s="13">
        <v>45329</v>
      </c>
      <c r="C16" s="8" t="s">
        <v>11</v>
      </c>
      <c r="D16" s="22" t="s">
        <v>1001</v>
      </c>
      <c r="E16" s="14" t="s">
        <v>1002</v>
      </c>
      <c r="F16" s="22"/>
      <c r="G16" s="16"/>
      <c r="H16" s="16"/>
      <c r="I16" s="225" t="s">
        <v>1052</v>
      </c>
    </row>
    <row r="17" spans="1:9" ht="45.75">
      <c r="A17" s="16" t="s">
        <v>381</v>
      </c>
      <c r="B17" s="13">
        <v>45329</v>
      </c>
      <c r="C17" s="8" t="s">
        <v>11</v>
      </c>
      <c r="D17" s="22" t="s">
        <v>1036</v>
      </c>
      <c r="E17" s="31" t="s">
        <v>1041</v>
      </c>
      <c r="F17" s="278" t="s">
        <v>991</v>
      </c>
      <c r="G17" s="16"/>
      <c r="H17" s="16"/>
      <c r="I17" s="22" t="s">
        <v>1053</v>
      </c>
    </row>
    <row r="18" spans="1:9">
      <c r="A18" s="16" t="s">
        <v>105</v>
      </c>
      <c r="B18" s="133">
        <v>45329</v>
      </c>
      <c r="C18" s="16" t="s">
        <v>18</v>
      </c>
      <c r="D18" s="16" t="s">
        <v>1030</v>
      </c>
      <c r="E18" s="16" t="s">
        <v>1046</v>
      </c>
      <c r="F18" s="16" t="s">
        <v>1047</v>
      </c>
      <c r="G18" s="16"/>
      <c r="H18" s="16"/>
      <c r="I18" s="16" t="s">
        <v>1054</v>
      </c>
    </row>
    <row r="19" spans="1:9" ht="60.75">
      <c r="A19" s="16" t="s">
        <v>90</v>
      </c>
      <c r="B19" s="13">
        <v>45329</v>
      </c>
      <c r="C19" s="8" t="s">
        <v>11</v>
      </c>
      <c r="D19" s="22" t="s">
        <v>1036</v>
      </c>
      <c r="E19" s="31" t="s">
        <v>1055</v>
      </c>
      <c r="F19" s="31" t="s">
        <v>1056</v>
      </c>
      <c r="G19" s="16"/>
      <c r="H19" s="16"/>
      <c r="I19" s="280" t="s">
        <v>1057</v>
      </c>
    </row>
    <row r="20" spans="1:9" ht="60.75">
      <c r="A20" s="16" t="s">
        <v>171</v>
      </c>
      <c r="B20" s="13">
        <v>45330</v>
      </c>
      <c r="C20" s="8" t="s">
        <v>11</v>
      </c>
      <c r="D20" s="22" t="s">
        <v>1001</v>
      </c>
      <c r="E20" s="14" t="s">
        <v>1002</v>
      </c>
      <c r="F20" s="22"/>
      <c r="G20" s="16"/>
      <c r="H20" s="16"/>
      <c r="I20" s="225" t="s">
        <v>1058</v>
      </c>
    </row>
    <row r="21" spans="1:9" ht="60.75">
      <c r="A21" s="16" t="s">
        <v>381</v>
      </c>
      <c r="B21" s="13">
        <v>45330</v>
      </c>
      <c r="C21" s="8" t="s">
        <v>11</v>
      </c>
      <c r="D21" s="22" t="s">
        <v>1036</v>
      </c>
      <c r="E21" s="31" t="s">
        <v>1041</v>
      </c>
      <c r="F21" s="278" t="s">
        <v>991</v>
      </c>
      <c r="G21" s="16"/>
      <c r="H21" s="16"/>
      <c r="I21" s="22" t="s">
        <v>1059</v>
      </c>
    </row>
    <row r="22" spans="1:9">
      <c r="A22" s="16" t="s">
        <v>105</v>
      </c>
      <c r="B22" s="133">
        <v>45330</v>
      </c>
      <c r="C22" s="16" t="s">
        <v>18</v>
      </c>
      <c r="D22" s="16" t="s">
        <v>1030</v>
      </c>
      <c r="E22" s="16" t="s">
        <v>1046</v>
      </c>
      <c r="F22" s="16" t="s">
        <v>1030</v>
      </c>
      <c r="G22" s="16"/>
      <c r="H22" s="16"/>
      <c r="I22" s="16" t="s">
        <v>1054</v>
      </c>
    </row>
    <row r="23" spans="1:9" ht="30.75">
      <c r="A23" s="16" t="s">
        <v>171</v>
      </c>
      <c r="B23" s="13">
        <v>45330</v>
      </c>
      <c r="C23" s="8" t="s">
        <v>11</v>
      </c>
      <c r="D23" s="22" t="s">
        <v>1001</v>
      </c>
      <c r="E23" s="14" t="s">
        <v>1002</v>
      </c>
      <c r="F23" s="22"/>
      <c r="G23" s="16"/>
      <c r="H23" s="16"/>
      <c r="I23" s="225" t="s">
        <v>1060</v>
      </c>
    </row>
    <row r="24" spans="1:9" ht="121.5">
      <c r="A24" s="16" t="s">
        <v>90</v>
      </c>
      <c r="B24" s="13">
        <v>45330</v>
      </c>
      <c r="C24" s="8" t="s">
        <v>11</v>
      </c>
      <c r="D24" s="22" t="s">
        <v>1036</v>
      </c>
      <c r="E24" s="31" t="s">
        <v>1055</v>
      </c>
      <c r="F24" s="31" t="s">
        <v>1061</v>
      </c>
      <c r="G24" s="16"/>
      <c r="H24" s="16"/>
      <c r="I24" s="280"/>
    </row>
    <row r="25" spans="1:9" ht="30.75">
      <c r="A25" s="16" t="s">
        <v>105</v>
      </c>
      <c r="B25" s="13">
        <v>45331</v>
      </c>
      <c r="C25" s="8" t="s">
        <v>11</v>
      </c>
      <c r="D25" s="22" t="s">
        <v>1036</v>
      </c>
      <c r="E25" s="31" t="s">
        <v>1041</v>
      </c>
      <c r="F25" s="278" t="s">
        <v>991</v>
      </c>
      <c r="G25" s="16"/>
      <c r="H25" s="16"/>
      <c r="I25" s="281" t="s">
        <v>1062</v>
      </c>
    </row>
    <row r="26" spans="1:9" ht="60.75">
      <c r="A26" s="16" t="s">
        <v>381</v>
      </c>
      <c r="B26" s="13">
        <v>45331</v>
      </c>
      <c r="C26" s="8" t="s">
        <v>11</v>
      </c>
      <c r="D26" s="22" t="s">
        <v>1036</v>
      </c>
      <c r="E26" s="31" t="s">
        <v>1041</v>
      </c>
      <c r="F26" s="278" t="s">
        <v>991</v>
      </c>
      <c r="G26" s="16"/>
      <c r="H26" s="16"/>
      <c r="I26" s="22" t="s">
        <v>1063</v>
      </c>
    </row>
    <row r="27" spans="1:9" ht="30.75">
      <c r="A27" s="16" t="s">
        <v>90</v>
      </c>
      <c r="B27" s="13">
        <v>45331</v>
      </c>
      <c r="C27" s="8" t="s">
        <v>11</v>
      </c>
      <c r="D27" s="22" t="s">
        <v>1036</v>
      </c>
      <c r="E27" s="31" t="s">
        <v>1041</v>
      </c>
      <c r="F27" s="278" t="s">
        <v>991</v>
      </c>
      <c r="G27" s="16">
        <v>2</v>
      </c>
      <c r="H27" s="16"/>
      <c r="I27" s="280" t="s">
        <v>1064</v>
      </c>
    </row>
    <row r="28" spans="1:9" ht="30.75">
      <c r="A28" s="16" t="s">
        <v>381</v>
      </c>
      <c r="B28" s="13">
        <v>45334</v>
      </c>
      <c r="C28" s="8" t="s">
        <v>11</v>
      </c>
      <c r="D28" s="22" t="s">
        <v>1065</v>
      </c>
      <c r="E28" s="31" t="s">
        <v>1041</v>
      </c>
      <c r="F28" s="282" t="s">
        <v>925</v>
      </c>
      <c r="G28" s="70"/>
      <c r="H28" s="70"/>
      <c r="I28" s="22" t="s">
        <v>1066</v>
      </c>
    </row>
    <row r="29" spans="1:9">
      <c r="A29" s="16" t="s">
        <v>171</v>
      </c>
      <c r="B29" s="13">
        <v>45334</v>
      </c>
      <c r="C29" s="8" t="s">
        <v>11</v>
      </c>
      <c r="D29" s="22" t="s">
        <v>1001</v>
      </c>
      <c r="E29" s="14" t="s">
        <v>1067</v>
      </c>
      <c r="F29" s="22"/>
      <c r="G29" s="16"/>
      <c r="H29" s="16"/>
      <c r="I29" s="225" t="s">
        <v>1068</v>
      </c>
    </row>
    <row r="30" spans="1:9" ht="30.75">
      <c r="A30" s="16" t="s">
        <v>90</v>
      </c>
      <c r="B30" s="13">
        <v>45334</v>
      </c>
      <c r="C30" s="8" t="s">
        <v>11</v>
      </c>
      <c r="D30" s="22" t="s">
        <v>1069</v>
      </c>
      <c r="E30" s="14" t="s">
        <v>1070</v>
      </c>
      <c r="F30" s="22" t="s">
        <v>825</v>
      </c>
      <c r="G30" s="16"/>
      <c r="H30" s="16"/>
      <c r="I30" s="225" t="s">
        <v>1071</v>
      </c>
    </row>
    <row r="31" spans="1:9" ht="30.75">
      <c r="A31" s="16" t="s">
        <v>171</v>
      </c>
      <c r="B31" s="13">
        <v>45335</v>
      </c>
      <c r="C31" s="8" t="s">
        <v>11</v>
      </c>
      <c r="D31" s="22" t="s">
        <v>1001</v>
      </c>
      <c r="E31" s="14" t="s">
        <v>1002</v>
      </c>
      <c r="F31" s="22"/>
      <c r="G31" s="16"/>
      <c r="H31" s="16"/>
      <c r="I31" s="225" t="s">
        <v>1072</v>
      </c>
    </row>
    <row r="32" spans="1:9" ht="30.75">
      <c r="A32" s="16" t="s">
        <v>381</v>
      </c>
      <c r="B32" s="13">
        <v>45335</v>
      </c>
      <c r="C32" s="8" t="s">
        <v>11</v>
      </c>
      <c r="D32" s="22" t="s">
        <v>1073</v>
      </c>
      <c r="E32" s="31" t="s">
        <v>1041</v>
      </c>
      <c r="F32" s="22" t="s">
        <v>1073</v>
      </c>
      <c r="G32" s="70"/>
      <c r="H32" s="70"/>
      <c r="I32" s="22" t="s">
        <v>1074</v>
      </c>
    </row>
    <row r="33" spans="1:9" ht="91.5">
      <c r="A33" s="16" t="s">
        <v>105</v>
      </c>
      <c r="B33" s="13">
        <v>45335</v>
      </c>
      <c r="C33" s="8" t="s">
        <v>11</v>
      </c>
      <c r="D33" s="22" t="s">
        <v>1075</v>
      </c>
      <c r="E33" s="14" t="s">
        <v>1067</v>
      </c>
      <c r="F33" s="22" t="s">
        <v>1075</v>
      </c>
      <c r="G33" s="16"/>
      <c r="H33" s="16"/>
      <c r="I33" s="225" t="s">
        <v>1076</v>
      </c>
    </row>
    <row r="34" spans="1:9" ht="30.75">
      <c r="A34" s="16" t="s">
        <v>90</v>
      </c>
      <c r="B34" s="13">
        <v>45335</v>
      </c>
      <c r="C34" s="8" t="s">
        <v>11</v>
      </c>
      <c r="D34" s="22" t="s">
        <v>1069</v>
      </c>
      <c r="E34" s="14" t="s">
        <v>1070</v>
      </c>
      <c r="F34" s="22" t="s">
        <v>825</v>
      </c>
      <c r="G34" s="16"/>
      <c r="H34" s="16"/>
      <c r="I34" s="225" t="s">
        <v>1071</v>
      </c>
    </row>
    <row r="35" spans="1:9" ht="45.75">
      <c r="A35" s="16" t="s">
        <v>381</v>
      </c>
      <c r="B35" s="13">
        <v>45336</v>
      </c>
      <c r="C35" s="8" t="s">
        <v>11</v>
      </c>
      <c r="D35" s="22" t="s">
        <v>1077</v>
      </c>
      <c r="E35" s="31" t="s">
        <v>1041</v>
      </c>
      <c r="F35" s="22" t="s">
        <v>1077</v>
      </c>
      <c r="G35" s="70"/>
      <c r="H35" s="70"/>
      <c r="I35" s="22" t="s">
        <v>1078</v>
      </c>
    </row>
    <row r="36" spans="1:9" ht="30.75">
      <c r="A36" s="16" t="s">
        <v>90</v>
      </c>
      <c r="B36" s="13">
        <v>45336</v>
      </c>
      <c r="C36" s="8" t="s">
        <v>11</v>
      </c>
      <c r="D36" s="22" t="s">
        <v>1069</v>
      </c>
      <c r="E36" s="14" t="s">
        <v>1070</v>
      </c>
      <c r="F36" s="22" t="s">
        <v>825</v>
      </c>
      <c r="G36" s="16"/>
      <c r="H36" s="16"/>
      <c r="I36" s="225" t="s">
        <v>583</v>
      </c>
    </row>
    <row r="37" spans="1:9" ht="30.75">
      <c r="A37" s="16" t="s">
        <v>381</v>
      </c>
      <c r="B37" s="13">
        <v>45337</v>
      </c>
      <c r="C37" s="8" t="s">
        <v>11</v>
      </c>
      <c r="D37" s="22" t="s">
        <v>1077</v>
      </c>
      <c r="E37" s="31" t="s">
        <v>1041</v>
      </c>
      <c r="F37" s="22" t="s">
        <v>925</v>
      </c>
      <c r="G37" s="70"/>
      <c r="H37" s="70"/>
      <c r="I37" s="22" t="s">
        <v>1079</v>
      </c>
    </row>
    <row r="38" spans="1:9">
      <c r="A38" s="16" t="s">
        <v>381</v>
      </c>
      <c r="B38" s="13">
        <v>45338</v>
      </c>
      <c r="C38" s="8" t="s">
        <v>11</v>
      </c>
      <c r="D38" s="22" t="s">
        <v>925</v>
      </c>
      <c r="E38" s="31" t="s">
        <v>1041</v>
      </c>
      <c r="F38" s="22" t="s">
        <v>925</v>
      </c>
      <c r="G38" s="70"/>
      <c r="H38" s="70"/>
      <c r="I38" s="22" t="s">
        <v>1080</v>
      </c>
    </row>
    <row r="39" spans="1:9" ht="30.75">
      <c r="A39" s="16" t="s">
        <v>90</v>
      </c>
      <c r="B39" s="13">
        <v>45337</v>
      </c>
      <c r="C39" s="8" t="s">
        <v>11</v>
      </c>
      <c r="D39" s="22" t="s">
        <v>621</v>
      </c>
      <c r="E39" s="14" t="s">
        <v>1070</v>
      </c>
      <c r="F39" s="44" t="s">
        <v>621</v>
      </c>
      <c r="G39" s="16"/>
      <c r="H39" s="16"/>
      <c r="I39" s="225" t="s">
        <v>1081</v>
      </c>
    </row>
    <row r="40" spans="1:9" ht="45.75">
      <c r="A40" s="296" t="s">
        <v>105</v>
      </c>
      <c r="B40" s="302">
        <v>45341</v>
      </c>
      <c r="C40" s="296" t="s">
        <v>18</v>
      </c>
      <c r="D40" s="16" t="s">
        <v>1082</v>
      </c>
      <c r="E40" s="300" t="s">
        <v>1070</v>
      </c>
      <c r="F40" s="16"/>
      <c r="G40" s="16"/>
      <c r="H40" s="16"/>
      <c r="I40" s="22" t="s">
        <v>1083</v>
      </c>
    </row>
    <row r="41" spans="1:9">
      <c r="A41" s="304"/>
      <c r="B41" s="305"/>
      <c r="C41" s="304"/>
      <c r="D41" s="16" t="s">
        <v>1030</v>
      </c>
      <c r="E41" s="301"/>
      <c r="F41" s="16"/>
      <c r="G41" s="16"/>
      <c r="H41" s="16"/>
      <c r="I41" s="16" t="s">
        <v>38</v>
      </c>
    </row>
    <row r="42" spans="1:9" ht="30.75">
      <c r="A42" s="16" t="s">
        <v>381</v>
      </c>
      <c r="B42" s="13">
        <v>45341</v>
      </c>
      <c r="C42" s="8" t="s">
        <v>1084</v>
      </c>
      <c r="D42" s="22" t="s">
        <v>460</v>
      </c>
      <c r="E42" s="31" t="s">
        <v>1041</v>
      </c>
      <c r="F42" s="22" t="s">
        <v>1085</v>
      </c>
      <c r="G42" s="70"/>
      <c r="H42" s="70"/>
      <c r="I42" s="22" t="s">
        <v>1086</v>
      </c>
    </row>
    <row r="43" spans="1:9" ht="30.75">
      <c r="A43" s="16" t="s">
        <v>90</v>
      </c>
      <c r="B43" s="13">
        <v>45341</v>
      </c>
      <c r="C43" s="8" t="s">
        <v>11</v>
      </c>
      <c r="D43" s="22" t="s">
        <v>1087</v>
      </c>
      <c r="E43" s="14" t="s">
        <v>1070</v>
      </c>
      <c r="F43" s="44" t="s">
        <v>1087</v>
      </c>
      <c r="G43" s="16"/>
      <c r="H43" s="16"/>
      <c r="I43" s="225" t="s">
        <v>1081</v>
      </c>
    </row>
    <row r="44" spans="1:9" ht="30.75">
      <c r="A44" s="16" t="s">
        <v>171</v>
      </c>
      <c r="B44" s="13">
        <v>45341</v>
      </c>
      <c r="C44" s="8" t="s">
        <v>11</v>
      </c>
      <c r="D44" s="22" t="s">
        <v>1001</v>
      </c>
      <c r="E44" s="14" t="s">
        <v>1002</v>
      </c>
      <c r="F44" s="22"/>
      <c r="G44" s="16"/>
      <c r="H44" s="16"/>
      <c r="I44" s="225" t="s">
        <v>1088</v>
      </c>
    </row>
    <row r="45" spans="1:9" ht="30.75">
      <c r="A45" s="16" t="s">
        <v>381</v>
      </c>
      <c r="B45" s="13">
        <v>45342</v>
      </c>
      <c r="C45" s="8" t="s">
        <v>1089</v>
      </c>
      <c r="D45" s="22" t="s">
        <v>1085</v>
      </c>
      <c r="E45" s="31" t="s">
        <v>1041</v>
      </c>
      <c r="F45" s="22" t="s">
        <v>1085</v>
      </c>
      <c r="G45" s="70"/>
      <c r="H45" s="70"/>
      <c r="I45" s="22" t="s">
        <v>1090</v>
      </c>
    </row>
    <row r="46" spans="1:9" ht="30.75">
      <c r="A46" s="16" t="s">
        <v>171</v>
      </c>
      <c r="B46" s="13">
        <v>45342</v>
      </c>
      <c r="C46" s="8" t="s">
        <v>11</v>
      </c>
      <c r="D46" s="22" t="s">
        <v>1001</v>
      </c>
      <c r="E46" s="14" t="s">
        <v>1002</v>
      </c>
      <c r="F46" s="22"/>
      <c r="G46" s="16"/>
      <c r="H46" s="16"/>
      <c r="I46" s="225" t="s">
        <v>1091</v>
      </c>
    </row>
    <row r="47" spans="1:9" ht="30.75">
      <c r="A47" s="16" t="s">
        <v>171</v>
      </c>
      <c r="B47" s="13">
        <v>45343</v>
      </c>
      <c r="C47" s="8" t="s">
        <v>11</v>
      </c>
      <c r="D47" s="22" t="s">
        <v>1092</v>
      </c>
      <c r="E47" s="14" t="s">
        <v>1002</v>
      </c>
      <c r="F47" s="22"/>
      <c r="G47" s="16"/>
      <c r="H47" s="16"/>
      <c r="I47" s="225" t="s">
        <v>1093</v>
      </c>
    </row>
    <row r="48" spans="1:9" ht="45.75">
      <c r="A48" s="16" t="s">
        <v>381</v>
      </c>
      <c r="B48" s="13">
        <v>45343</v>
      </c>
      <c r="C48" s="8" t="s">
        <v>11</v>
      </c>
      <c r="D48" s="283" t="s">
        <v>1094</v>
      </c>
      <c r="E48" s="31" t="s">
        <v>1041</v>
      </c>
      <c r="F48" s="22" t="s">
        <v>1094</v>
      </c>
      <c r="G48" s="70"/>
      <c r="H48" s="70"/>
      <c r="I48" s="22" t="s">
        <v>1095</v>
      </c>
    </row>
    <row r="49" spans="1:9" ht="30.75">
      <c r="A49" s="16" t="s">
        <v>381</v>
      </c>
      <c r="B49" s="13">
        <v>45344</v>
      </c>
      <c r="C49" s="8" t="s">
        <v>22</v>
      </c>
      <c r="D49" s="22" t="s">
        <v>1004</v>
      </c>
      <c r="E49" s="31" t="s">
        <v>1041</v>
      </c>
      <c r="F49" s="22" t="s">
        <v>1004</v>
      </c>
      <c r="G49" s="70"/>
      <c r="H49" s="70"/>
      <c r="I49" s="22" t="s">
        <v>1096</v>
      </c>
    </row>
    <row r="50" spans="1:9" ht="45.75">
      <c r="A50" s="16" t="s">
        <v>381</v>
      </c>
      <c r="B50" s="13">
        <v>45345</v>
      </c>
      <c r="C50" s="8" t="s">
        <v>11</v>
      </c>
      <c r="D50" s="22" t="s">
        <v>1004</v>
      </c>
      <c r="E50" s="31" t="s">
        <v>1041</v>
      </c>
      <c r="F50" s="22" t="s">
        <v>1075</v>
      </c>
      <c r="G50" s="70"/>
      <c r="H50" s="70"/>
      <c r="I50" s="22" t="s">
        <v>1097</v>
      </c>
    </row>
    <row r="51" spans="1:9">
      <c r="A51" s="16"/>
      <c r="B51" s="16"/>
      <c r="C51" s="16"/>
      <c r="D51" s="16"/>
      <c r="E51" s="16"/>
      <c r="F51" s="16"/>
      <c r="G51" s="16"/>
      <c r="H51" s="16"/>
      <c r="I51" s="16"/>
    </row>
    <row r="52" spans="1:9">
      <c r="A52" s="16"/>
      <c r="B52" s="16"/>
      <c r="C52" s="16"/>
      <c r="D52" s="16"/>
      <c r="E52" s="16"/>
      <c r="F52" s="16"/>
      <c r="G52" s="16"/>
      <c r="H52" s="16"/>
      <c r="I52" s="16"/>
    </row>
    <row r="53" spans="1:9">
      <c r="A53" s="16"/>
      <c r="B53" s="16"/>
      <c r="C53" s="16"/>
      <c r="D53" s="16"/>
      <c r="E53" s="16"/>
      <c r="F53" s="16"/>
      <c r="G53" s="16"/>
      <c r="H53" s="16"/>
      <c r="I53" s="16"/>
    </row>
    <row r="54" spans="1:9">
      <c r="A54" s="16"/>
      <c r="B54" s="16"/>
      <c r="C54" s="16"/>
      <c r="D54" s="16"/>
      <c r="E54" s="16"/>
      <c r="F54" s="16"/>
      <c r="G54" s="16"/>
      <c r="H54" s="16"/>
      <c r="I54" s="16"/>
    </row>
    <row r="55" spans="1:9">
      <c r="A55" s="16"/>
      <c r="B55" s="16"/>
      <c r="C55" s="16"/>
      <c r="D55" s="16"/>
      <c r="E55" s="16"/>
      <c r="F55" s="16"/>
      <c r="G55" s="16"/>
      <c r="H55" s="16"/>
      <c r="I55" s="16"/>
    </row>
    <row r="56" spans="1:9">
      <c r="A56" s="16"/>
      <c r="B56" s="16"/>
      <c r="C56" s="16"/>
      <c r="D56" s="16"/>
      <c r="E56" s="16"/>
      <c r="F56" s="16"/>
      <c r="G56" s="16"/>
      <c r="H56" s="16"/>
      <c r="I56" s="16"/>
    </row>
    <row r="57" spans="1:9">
      <c r="A57" s="16"/>
      <c r="B57" s="16"/>
      <c r="C57" s="16"/>
      <c r="D57" s="16"/>
      <c r="E57" s="16"/>
      <c r="F57" s="16"/>
      <c r="G57" s="16"/>
      <c r="H57" s="16"/>
      <c r="I57" s="16"/>
    </row>
    <row r="58" spans="1:9">
      <c r="A58" s="16"/>
      <c r="B58" s="16"/>
      <c r="C58" s="16"/>
      <c r="D58" s="16"/>
      <c r="E58" s="16"/>
      <c r="F58" s="16"/>
      <c r="G58" s="16"/>
      <c r="H58" s="16"/>
      <c r="I58" s="16"/>
    </row>
    <row r="59" spans="1:9">
      <c r="A59" s="16"/>
      <c r="B59" s="16"/>
      <c r="C59" s="16"/>
      <c r="D59" s="16"/>
      <c r="E59" s="16"/>
      <c r="F59" s="16"/>
      <c r="G59" s="16"/>
      <c r="H59" s="16"/>
      <c r="I59" s="16"/>
    </row>
    <row r="60" spans="1:9">
      <c r="A60" s="16"/>
      <c r="B60" s="16"/>
      <c r="C60" s="16"/>
      <c r="D60" s="16"/>
      <c r="E60" s="16"/>
      <c r="F60" s="16"/>
      <c r="G60" s="16"/>
      <c r="H60" s="16"/>
      <c r="I60" s="16"/>
    </row>
    <row r="61" spans="1:9">
      <c r="A61" s="16"/>
      <c r="B61" s="16"/>
      <c r="C61" s="16"/>
      <c r="D61" s="16"/>
      <c r="E61" s="16"/>
      <c r="F61" s="16"/>
      <c r="G61" s="16"/>
      <c r="H61" s="16"/>
      <c r="I61" s="16"/>
    </row>
    <row r="62" spans="1:9">
      <c r="A62" s="16"/>
      <c r="B62" s="16"/>
      <c r="C62" s="16"/>
      <c r="D62" s="16"/>
      <c r="E62" s="16"/>
      <c r="F62" s="16"/>
      <c r="G62" s="16"/>
      <c r="H62" s="16"/>
      <c r="I62" s="16"/>
    </row>
    <row r="63" spans="1:9">
      <c r="A63" s="16"/>
      <c r="B63" s="16"/>
      <c r="C63" s="16"/>
      <c r="D63" s="16"/>
      <c r="E63" s="16"/>
      <c r="F63" s="16"/>
      <c r="G63" s="16"/>
      <c r="H63" s="16"/>
      <c r="I63" s="16"/>
    </row>
    <row r="64" spans="1:9">
      <c r="A64" s="16"/>
      <c r="B64" s="16"/>
      <c r="C64" s="16"/>
      <c r="D64" s="16"/>
      <c r="E64" s="16"/>
      <c r="F64" s="16"/>
      <c r="G64" s="16"/>
      <c r="H64" s="16"/>
      <c r="I64" s="16"/>
    </row>
    <row r="65" spans="1:9">
      <c r="A65" s="16"/>
      <c r="B65" s="16"/>
      <c r="C65" s="16"/>
      <c r="D65" s="16"/>
      <c r="E65" s="16"/>
      <c r="F65" s="16"/>
      <c r="G65" s="16"/>
      <c r="H65" s="16"/>
      <c r="I65" s="16"/>
    </row>
    <row r="66" spans="1:9">
      <c r="A66" s="16"/>
      <c r="B66" s="16"/>
      <c r="C66" s="16"/>
      <c r="D66" s="16"/>
      <c r="E66" s="16"/>
      <c r="F66" s="16"/>
      <c r="G66" s="16"/>
      <c r="H66" s="16"/>
      <c r="I66" s="16"/>
    </row>
    <row r="67" spans="1:9">
      <c r="A67" s="16"/>
      <c r="B67" s="16"/>
      <c r="C67" s="16"/>
      <c r="D67" s="16"/>
      <c r="E67" s="16"/>
      <c r="F67" s="16"/>
      <c r="G67" s="16"/>
      <c r="H67" s="16"/>
      <c r="I67" s="16"/>
    </row>
    <row r="68" spans="1:9">
      <c r="A68" s="16"/>
      <c r="B68" s="16"/>
      <c r="C68" s="16"/>
      <c r="D68" s="16"/>
      <c r="E68" s="16"/>
      <c r="F68" s="16"/>
      <c r="G68" s="16"/>
      <c r="H68" s="16"/>
      <c r="I68" s="16"/>
    </row>
    <row r="69" spans="1:9">
      <c r="A69" s="16"/>
      <c r="B69" s="16"/>
      <c r="C69" s="16"/>
      <c r="D69" s="16"/>
      <c r="E69" s="16"/>
      <c r="F69" s="16"/>
      <c r="G69" s="16"/>
      <c r="H69" s="16"/>
      <c r="I69" s="16"/>
    </row>
    <row r="70" spans="1:9">
      <c r="A70" s="16"/>
      <c r="B70" s="16"/>
      <c r="C70" s="16"/>
      <c r="D70" s="16"/>
      <c r="E70" s="16"/>
      <c r="F70" s="16"/>
      <c r="G70" s="16"/>
      <c r="H70" s="16"/>
      <c r="I70" s="16"/>
    </row>
    <row r="71" spans="1:9">
      <c r="A71" s="16"/>
      <c r="B71" s="16"/>
      <c r="C71" s="16"/>
      <c r="D71" s="16"/>
      <c r="E71" s="16"/>
      <c r="F71" s="16"/>
      <c r="G71" s="16"/>
      <c r="H71" s="16"/>
      <c r="I71" s="16"/>
    </row>
    <row r="72" spans="1:9">
      <c r="A72" s="16"/>
      <c r="B72" s="16"/>
      <c r="C72" s="16"/>
      <c r="D72" s="16"/>
      <c r="E72" s="16"/>
      <c r="F72" s="16"/>
      <c r="G72" s="16"/>
      <c r="H72" s="16"/>
      <c r="I72" s="16"/>
    </row>
    <row r="73" spans="1:9">
      <c r="A73" s="16"/>
      <c r="B73" s="16"/>
      <c r="C73" s="16"/>
      <c r="D73" s="16"/>
      <c r="E73" s="16"/>
      <c r="F73" s="16"/>
      <c r="G73" s="16"/>
      <c r="H73" s="16"/>
      <c r="I73" s="16"/>
    </row>
    <row r="74" spans="1:9">
      <c r="A74" s="16"/>
      <c r="B74" s="16"/>
      <c r="C74" s="16"/>
      <c r="D74" s="16"/>
      <c r="E74" s="16"/>
      <c r="F74" s="16"/>
      <c r="G74" s="16"/>
      <c r="H74" s="16"/>
      <c r="I74" s="16"/>
    </row>
    <row r="75" spans="1:9">
      <c r="A75" s="16"/>
      <c r="B75" s="16"/>
      <c r="C75" s="16"/>
      <c r="D75" s="16"/>
      <c r="E75" s="16"/>
      <c r="F75" s="16"/>
      <c r="G75" s="16"/>
      <c r="H75" s="16"/>
      <c r="I75" s="16"/>
    </row>
    <row r="76" spans="1:9">
      <c r="A76" s="16"/>
      <c r="B76" s="16"/>
      <c r="C76" s="16"/>
      <c r="D76" s="16"/>
      <c r="E76" s="16"/>
      <c r="F76" s="16"/>
      <c r="G76" s="16"/>
      <c r="H76" s="16"/>
      <c r="I76" s="16"/>
    </row>
    <row r="77" spans="1:9">
      <c r="A77" s="16"/>
      <c r="B77" s="16"/>
      <c r="C77" s="16"/>
      <c r="D77" s="16"/>
      <c r="E77" s="16"/>
      <c r="F77" s="16"/>
      <c r="G77" s="16"/>
      <c r="H77" s="16"/>
      <c r="I77" s="16"/>
    </row>
    <row r="78" spans="1:9">
      <c r="A78" s="16"/>
      <c r="B78" s="16"/>
      <c r="C78" s="16"/>
      <c r="D78" s="16"/>
      <c r="E78" s="16"/>
      <c r="F78" s="16"/>
      <c r="G78" s="16"/>
      <c r="H78" s="16"/>
      <c r="I78" s="16"/>
    </row>
    <row r="79" spans="1:9">
      <c r="A79" s="16"/>
      <c r="B79" s="16"/>
      <c r="C79" s="16"/>
      <c r="D79" s="16"/>
      <c r="E79" s="16"/>
      <c r="F79" s="16"/>
      <c r="G79" s="16"/>
      <c r="H79" s="16"/>
      <c r="I79" s="16"/>
    </row>
    <row r="80" spans="1:9">
      <c r="A80" s="16"/>
      <c r="B80" s="16"/>
      <c r="C80" s="16"/>
      <c r="D80" s="16"/>
      <c r="E80" s="16"/>
      <c r="F80" s="16"/>
      <c r="G80" s="16"/>
      <c r="H80" s="16"/>
      <c r="I80" s="16"/>
    </row>
    <row r="81" spans="1:9">
      <c r="A81" s="16"/>
      <c r="B81" s="16"/>
      <c r="C81" s="16"/>
      <c r="D81" s="16"/>
      <c r="E81" s="16"/>
      <c r="F81" s="16"/>
      <c r="G81" s="16"/>
      <c r="H81" s="16"/>
      <c r="I81" s="16"/>
    </row>
    <row r="82" spans="1:9">
      <c r="A82" s="16"/>
      <c r="B82" s="16"/>
      <c r="C82" s="16"/>
      <c r="D82" s="16"/>
      <c r="E82" s="16"/>
      <c r="F82" s="16"/>
      <c r="G82" s="16"/>
      <c r="H82" s="16"/>
      <c r="I82" s="16"/>
    </row>
    <row r="83" spans="1:9">
      <c r="A83" s="16"/>
      <c r="B83" s="16"/>
      <c r="C83" s="16"/>
      <c r="D83" s="16"/>
      <c r="E83" s="16"/>
      <c r="F83" s="16"/>
      <c r="G83" s="16"/>
      <c r="H83" s="16"/>
      <c r="I83" s="16"/>
    </row>
    <row r="84" spans="1:9">
      <c r="A84" s="16"/>
      <c r="B84" s="16"/>
      <c r="C84" s="16"/>
      <c r="D84" s="16"/>
      <c r="E84" s="16"/>
      <c r="F84" s="16"/>
      <c r="G84" s="16"/>
      <c r="H84" s="16"/>
      <c r="I84" s="16"/>
    </row>
    <row r="85" spans="1:9">
      <c r="A85" s="16"/>
      <c r="B85" s="16"/>
      <c r="C85" s="16"/>
      <c r="D85" s="16"/>
      <c r="E85" s="16"/>
      <c r="F85" s="16"/>
      <c r="G85" s="16"/>
      <c r="H85" s="16"/>
      <c r="I85" s="16"/>
    </row>
    <row r="86" spans="1:9">
      <c r="A86" s="16"/>
      <c r="B86" s="16"/>
      <c r="C86" s="16"/>
      <c r="D86" s="16"/>
      <c r="E86" s="16"/>
      <c r="F86" s="16"/>
      <c r="G86" s="16"/>
      <c r="H86" s="16"/>
      <c r="I86" s="16"/>
    </row>
    <row r="87" spans="1:9">
      <c r="A87" s="16"/>
      <c r="B87" s="16"/>
      <c r="C87" s="16"/>
      <c r="D87" s="16"/>
      <c r="E87" s="16"/>
      <c r="F87" s="16"/>
      <c r="G87" s="16"/>
      <c r="H87" s="16"/>
      <c r="I87" s="16"/>
    </row>
    <row r="88" spans="1:9">
      <c r="A88" s="16"/>
      <c r="B88" s="16"/>
      <c r="C88" s="16"/>
      <c r="D88" s="16"/>
      <c r="E88" s="16"/>
      <c r="F88" s="16"/>
      <c r="G88" s="16"/>
      <c r="H88" s="16"/>
      <c r="I88" s="16"/>
    </row>
    <row r="89" spans="1:9">
      <c r="A89" s="16"/>
      <c r="B89" s="16"/>
      <c r="C89" s="16"/>
      <c r="D89" s="16"/>
      <c r="E89" s="16"/>
      <c r="F89" s="16"/>
      <c r="G89" s="16"/>
      <c r="H89" s="16"/>
      <c r="I89" s="16"/>
    </row>
    <row r="90" spans="1:9">
      <c r="A90" s="16"/>
      <c r="B90" s="16"/>
      <c r="C90" s="16"/>
      <c r="D90" s="16"/>
      <c r="E90" s="16"/>
      <c r="F90" s="16"/>
      <c r="G90" s="16"/>
      <c r="H90" s="16"/>
      <c r="I90" s="16"/>
    </row>
    <row r="91" spans="1:9">
      <c r="A91" s="16"/>
      <c r="B91" s="16"/>
      <c r="C91" s="16"/>
      <c r="D91" s="16"/>
      <c r="E91" s="16"/>
      <c r="F91" s="16"/>
      <c r="G91" s="16"/>
      <c r="H91" s="16"/>
      <c r="I91" s="16"/>
    </row>
    <row r="92" spans="1:9">
      <c r="A92" s="16"/>
      <c r="B92" s="16"/>
      <c r="C92" s="16"/>
      <c r="D92" s="16"/>
      <c r="E92" s="16"/>
      <c r="F92" s="16"/>
      <c r="G92" s="16"/>
      <c r="H92" s="16"/>
      <c r="I92" s="16"/>
    </row>
    <row r="93" spans="1:9">
      <c r="A93" s="16"/>
      <c r="B93" s="16"/>
      <c r="C93" s="16"/>
      <c r="D93" s="16"/>
      <c r="E93" s="16"/>
      <c r="F93" s="16"/>
      <c r="G93" s="16"/>
      <c r="H93" s="16"/>
      <c r="I93" s="16"/>
    </row>
    <row r="94" spans="1:9">
      <c r="A94" s="16"/>
      <c r="B94" s="16"/>
      <c r="C94" s="16"/>
      <c r="D94" s="16"/>
      <c r="E94" s="16"/>
      <c r="F94" s="16"/>
      <c r="G94" s="16"/>
      <c r="H94" s="16"/>
      <c r="I94" s="16"/>
    </row>
    <row r="95" spans="1:9">
      <c r="A95" s="16"/>
      <c r="B95" s="16"/>
      <c r="C95" s="16"/>
      <c r="D95" s="16"/>
      <c r="E95" s="16"/>
      <c r="F95" s="16"/>
      <c r="G95" s="16"/>
      <c r="H95" s="16"/>
      <c r="I95" s="16"/>
    </row>
    <row r="96" spans="1:9">
      <c r="A96" s="16"/>
      <c r="B96" s="16"/>
      <c r="C96" s="16"/>
      <c r="D96" s="16"/>
      <c r="E96" s="16"/>
      <c r="F96" s="16"/>
      <c r="G96" s="16"/>
      <c r="H96" s="16"/>
      <c r="I96" s="16"/>
    </row>
    <row r="97" spans="1:9">
      <c r="A97" s="16"/>
      <c r="B97" s="16"/>
      <c r="C97" s="16"/>
      <c r="D97" s="16"/>
      <c r="E97" s="16"/>
      <c r="F97" s="16"/>
      <c r="G97" s="16"/>
      <c r="H97" s="16"/>
      <c r="I97" s="16"/>
    </row>
    <row r="98" spans="1:9">
      <c r="A98" s="16"/>
      <c r="B98" s="16"/>
      <c r="C98" s="16"/>
      <c r="D98" s="16"/>
      <c r="E98" s="16"/>
      <c r="F98" s="16"/>
      <c r="G98" s="16"/>
      <c r="H98" s="16"/>
      <c r="I98" s="16"/>
    </row>
    <row r="99" spans="1:9">
      <c r="A99" s="16"/>
      <c r="B99" s="16"/>
      <c r="C99" s="16"/>
      <c r="D99" s="16"/>
      <c r="E99" s="16"/>
      <c r="F99" s="16"/>
      <c r="G99" s="16"/>
      <c r="H99" s="16"/>
      <c r="I99" s="16"/>
    </row>
    <row r="100" spans="1:9">
      <c r="A100" s="16"/>
      <c r="B100" s="16"/>
      <c r="C100" s="16"/>
      <c r="D100" s="16"/>
      <c r="E100" s="16"/>
      <c r="F100" s="16"/>
      <c r="G100" s="16"/>
      <c r="H100" s="16"/>
      <c r="I100" s="16"/>
    </row>
    <row r="101" spans="1:9">
      <c r="A101" s="16"/>
      <c r="B101" s="16"/>
      <c r="C101" s="16"/>
      <c r="D101" s="16"/>
      <c r="E101" s="16"/>
      <c r="F101" s="16"/>
      <c r="G101" s="16"/>
      <c r="H101" s="16"/>
      <c r="I101" s="16"/>
    </row>
    <row r="102" spans="1:9">
      <c r="A102" s="16"/>
      <c r="B102" s="16"/>
      <c r="C102" s="16"/>
      <c r="D102" s="16"/>
      <c r="E102" s="16"/>
      <c r="F102" s="16"/>
      <c r="G102" s="16"/>
      <c r="H102" s="16"/>
      <c r="I102" s="16"/>
    </row>
    <row r="103" spans="1:9">
      <c r="A103" s="16"/>
      <c r="B103" s="16"/>
      <c r="C103" s="16"/>
      <c r="D103" s="16"/>
      <c r="E103" s="16"/>
      <c r="F103" s="16"/>
      <c r="G103" s="16"/>
      <c r="H103" s="16"/>
      <c r="I103" s="16"/>
    </row>
    <row r="104" spans="1:9">
      <c r="A104" s="16"/>
      <c r="B104" s="16"/>
      <c r="C104" s="16"/>
      <c r="D104" s="16"/>
      <c r="E104" s="16"/>
      <c r="F104" s="16"/>
      <c r="G104" s="16"/>
      <c r="H104" s="16"/>
      <c r="I104" s="16"/>
    </row>
    <row r="105" spans="1:9">
      <c r="A105" s="16"/>
      <c r="B105" s="16"/>
      <c r="C105" s="16"/>
      <c r="D105" s="16"/>
      <c r="E105" s="16"/>
      <c r="F105" s="16"/>
      <c r="G105" s="16"/>
      <c r="H105" s="16"/>
      <c r="I105" s="16"/>
    </row>
    <row r="106" spans="1:9">
      <c r="A106" s="16"/>
      <c r="B106" s="16"/>
      <c r="C106" s="16"/>
      <c r="D106" s="16"/>
      <c r="E106" s="16"/>
      <c r="F106" s="16"/>
      <c r="G106" s="16"/>
      <c r="H106" s="16"/>
      <c r="I106" s="16"/>
    </row>
  </sheetData>
  <mergeCells count="4">
    <mergeCell ref="E40:E41"/>
    <mergeCell ref="C40:C41"/>
    <mergeCell ref="B40:B41"/>
    <mergeCell ref="A40:A4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D43BC-FD65-4A7E-924E-E6CE382125B5}">
  <dimension ref="A1:C14"/>
  <sheetViews>
    <sheetView workbookViewId="0">
      <selection sqref="A1:C14"/>
    </sheetView>
  </sheetViews>
  <sheetFormatPr defaultRowHeight="15"/>
  <cols>
    <col min="1" max="1" width="56" bestFit="1" customWidth="1"/>
    <col min="2" max="2" width="28.140625" bestFit="1" customWidth="1"/>
    <col min="3" max="3" width="44.140625" bestFit="1" customWidth="1"/>
  </cols>
  <sheetData>
    <row r="1" spans="1:3">
      <c r="A1" s="249" t="s">
        <v>1098</v>
      </c>
      <c r="B1" s="250" t="s">
        <v>1099</v>
      </c>
      <c r="C1" s="249" t="s">
        <v>36</v>
      </c>
    </row>
    <row r="2" spans="1:3">
      <c r="A2" s="340" t="s">
        <v>1100</v>
      </c>
      <c r="B2" s="5" t="s">
        <v>1101</v>
      </c>
      <c r="C2" s="5" t="s">
        <v>1102</v>
      </c>
    </row>
    <row r="3" spans="1:3">
      <c r="A3" s="340"/>
      <c r="B3" s="5" t="s">
        <v>1103</v>
      </c>
      <c r="C3" s="5" t="s">
        <v>1104</v>
      </c>
    </row>
    <row r="4" spans="1:3">
      <c r="A4" s="341" t="s">
        <v>1105</v>
      </c>
      <c r="B4" s="5" t="s">
        <v>1106</v>
      </c>
      <c r="C4" s="5" t="s">
        <v>1107</v>
      </c>
    </row>
    <row r="5" spans="1:3">
      <c r="A5" s="342"/>
      <c r="B5" s="5" t="s">
        <v>1101</v>
      </c>
      <c r="C5" s="5" t="s">
        <v>1107</v>
      </c>
    </row>
    <row r="6" spans="1:3">
      <c r="A6" s="5" t="s">
        <v>1108</v>
      </c>
      <c r="B6" s="5" t="s">
        <v>1101</v>
      </c>
      <c r="C6" s="5" t="s">
        <v>1109</v>
      </c>
    </row>
    <row r="7" spans="1:3">
      <c r="A7" s="5" t="s">
        <v>1110</v>
      </c>
      <c r="B7" s="5" t="s">
        <v>1111</v>
      </c>
      <c r="C7" s="5" t="s">
        <v>1112</v>
      </c>
    </row>
    <row r="8" spans="1:3">
      <c r="A8" s="5" t="s">
        <v>1113</v>
      </c>
      <c r="B8" s="5" t="s">
        <v>1106</v>
      </c>
      <c r="C8" s="5" t="s">
        <v>1114</v>
      </c>
    </row>
    <row r="9" spans="1:3">
      <c r="A9" s="252"/>
      <c r="B9" s="5" t="s">
        <v>1115</v>
      </c>
      <c r="C9" s="5" t="s">
        <v>1114</v>
      </c>
    </row>
    <row r="10" spans="1:3">
      <c r="A10" s="253" t="s">
        <v>1116</v>
      </c>
      <c r="B10" s="5" t="s">
        <v>1117</v>
      </c>
      <c r="C10" s="5" t="s">
        <v>1118</v>
      </c>
    </row>
    <row r="11" spans="1:3">
      <c r="A11" s="5" t="s">
        <v>1119</v>
      </c>
      <c r="B11" s="5" t="s">
        <v>1120</v>
      </c>
      <c r="C11" s="5" t="s">
        <v>1121</v>
      </c>
    </row>
    <row r="12" spans="1:3">
      <c r="A12" s="253" t="s">
        <v>1122</v>
      </c>
      <c r="B12" s="5" t="s">
        <v>1123</v>
      </c>
      <c r="C12" s="254" t="s">
        <v>1124</v>
      </c>
    </row>
    <row r="13" spans="1:3">
      <c r="A13" s="251" t="s">
        <v>1119</v>
      </c>
      <c r="B13" s="5" t="s">
        <v>1125</v>
      </c>
      <c r="C13" s="5" t="s">
        <v>1121</v>
      </c>
    </row>
    <row r="14" spans="1:3">
      <c r="A14" s="5" t="s">
        <v>1119</v>
      </c>
      <c r="B14" s="5" t="s">
        <v>1120</v>
      </c>
      <c r="C14" s="5" t="s">
        <v>1126</v>
      </c>
    </row>
  </sheetData>
  <mergeCells count="2">
    <mergeCell ref="A2:A3"/>
    <mergeCell ref="A4:A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0FF49-ED4B-49AE-AC15-E5CAC8B88B26}">
  <dimension ref="A1:F47"/>
  <sheetViews>
    <sheetView workbookViewId="0">
      <selection activeCell="A10" sqref="A10"/>
    </sheetView>
  </sheetViews>
  <sheetFormatPr defaultRowHeight="15"/>
  <cols>
    <col min="1" max="1" width="42.7109375" customWidth="1"/>
    <col min="2" max="2" width="10.85546875" bestFit="1" customWidth="1"/>
  </cols>
  <sheetData>
    <row r="1" spans="1:6">
      <c r="A1" s="82" t="s">
        <v>1127</v>
      </c>
      <c r="B1" s="82" t="s">
        <v>1128</v>
      </c>
      <c r="C1" s="83" t="s">
        <v>1129</v>
      </c>
      <c r="D1" s="84" t="s">
        <v>1130</v>
      </c>
      <c r="E1" s="85" t="s">
        <v>1131</v>
      </c>
      <c r="F1" s="85" t="s">
        <v>48</v>
      </c>
    </row>
    <row r="2" spans="1:6">
      <c r="A2" s="343" t="s">
        <v>1132</v>
      </c>
      <c r="B2" s="344"/>
      <c r="C2" s="344"/>
      <c r="D2" s="345"/>
      <c r="E2" s="86"/>
    </row>
    <row r="3" spans="1:6">
      <c r="A3" s="88" t="s">
        <v>24</v>
      </c>
      <c r="B3" s="89" t="s">
        <v>38</v>
      </c>
      <c r="C3" s="89"/>
      <c r="D3" s="90"/>
      <c r="E3" s="86">
        <v>6</v>
      </c>
      <c r="F3" s="91"/>
    </row>
    <row r="4" spans="1:6">
      <c r="A4" s="88" t="s">
        <v>1133</v>
      </c>
      <c r="B4" s="89" t="s">
        <v>38</v>
      </c>
      <c r="C4" s="89"/>
      <c r="D4" s="90"/>
      <c r="E4" s="86">
        <v>40</v>
      </c>
      <c r="F4" s="91"/>
    </row>
    <row r="5" spans="1:6">
      <c r="A5" s="88" t="s">
        <v>1134</v>
      </c>
      <c r="B5" s="89" t="s">
        <v>38</v>
      </c>
      <c r="C5" s="90"/>
      <c r="D5" s="90"/>
      <c r="E5" s="86">
        <v>30</v>
      </c>
      <c r="F5" s="91"/>
    </row>
    <row r="6" spans="1:6">
      <c r="A6" s="88" t="s">
        <v>1135</v>
      </c>
      <c r="B6" s="89" t="s">
        <v>38</v>
      </c>
      <c r="C6" s="88"/>
      <c r="D6" s="88"/>
      <c r="E6" s="86">
        <v>60</v>
      </c>
      <c r="F6" s="91"/>
    </row>
    <row r="7" spans="1:6">
      <c r="A7" s="88" t="s">
        <v>1136</v>
      </c>
      <c r="B7" s="89" t="s">
        <v>38</v>
      </c>
      <c r="C7" s="88"/>
      <c r="D7" s="88"/>
      <c r="E7" s="86">
        <v>3</v>
      </c>
      <c r="F7" s="91" t="s">
        <v>1137</v>
      </c>
    </row>
    <row r="8" spans="1:6">
      <c r="A8" s="88" t="s">
        <v>1138</v>
      </c>
      <c r="B8" s="89" t="s">
        <v>38</v>
      </c>
      <c r="C8" s="88"/>
      <c r="D8" s="88"/>
      <c r="E8" s="86">
        <v>3</v>
      </c>
      <c r="F8" s="91" t="s">
        <v>1137</v>
      </c>
    </row>
    <row r="9" spans="1:6">
      <c r="A9" s="88" t="s">
        <v>1139</v>
      </c>
      <c r="B9" s="89" t="s">
        <v>38</v>
      </c>
      <c r="C9" s="88"/>
      <c r="D9" s="88"/>
      <c r="E9" s="86">
        <v>30</v>
      </c>
      <c r="F9" s="91" t="s">
        <v>1137</v>
      </c>
    </row>
    <row r="10" spans="1:6">
      <c r="A10" s="131" t="s">
        <v>1140</v>
      </c>
      <c r="B10" s="89" t="s">
        <v>38</v>
      </c>
      <c r="C10" s="88"/>
      <c r="D10" s="88"/>
      <c r="E10" s="86">
        <v>3</v>
      </c>
      <c r="F10" s="91" t="s">
        <v>1141</v>
      </c>
    </row>
    <row r="11" spans="1:6">
      <c r="A11" s="88" t="s">
        <v>1142</v>
      </c>
      <c r="B11" s="89" t="s">
        <v>38</v>
      </c>
      <c r="C11" s="88"/>
      <c r="D11" s="88"/>
      <c r="E11" s="86">
        <v>2</v>
      </c>
      <c r="F11" s="91" t="s">
        <v>1137</v>
      </c>
    </row>
    <row r="12" spans="1:6">
      <c r="A12" s="88" t="s">
        <v>1143</v>
      </c>
      <c r="B12" s="89" t="s">
        <v>38</v>
      </c>
      <c r="C12" s="88"/>
      <c r="D12" s="88"/>
      <c r="E12" s="86">
        <v>3</v>
      </c>
      <c r="F12" s="91" t="s">
        <v>1137</v>
      </c>
    </row>
    <row r="13" spans="1:6">
      <c r="A13" s="88" t="s">
        <v>1144</v>
      </c>
      <c r="B13" s="89" t="s">
        <v>38</v>
      </c>
      <c r="C13" s="88"/>
      <c r="D13" s="88"/>
      <c r="E13" s="86">
        <v>3</v>
      </c>
      <c r="F13" s="91" t="s">
        <v>1137</v>
      </c>
    </row>
    <row r="14" spans="1:6">
      <c r="A14" s="88" t="s">
        <v>1145</v>
      </c>
      <c r="B14" s="89" t="s">
        <v>38</v>
      </c>
      <c r="C14" s="88"/>
      <c r="D14" s="88"/>
      <c r="E14" s="86">
        <v>3</v>
      </c>
      <c r="F14" s="91" t="s">
        <v>1141</v>
      </c>
    </row>
    <row r="15" spans="1:6">
      <c r="A15" s="88" t="s">
        <v>1146</v>
      </c>
      <c r="B15" s="89" t="s">
        <v>38</v>
      </c>
      <c r="C15" s="88"/>
      <c r="D15" s="88"/>
      <c r="E15" s="86">
        <v>5</v>
      </c>
      <c r="F15" s="91" t="s">
        <v>1137</v>
      </c>
    </row>
    <row r="16" spans="1:6">
      <c r="A16" s="88" t="s">
        <v>1147</v>
      </c>
      <c r="B16" s="92" t="s">
        <v>1148</v>
      </c>
      <c r="C16" s="88"/>
      <c r="D16" s="88"/>
      <c r="E16" s="86">
        <v>2</v>
      </c>
      <c r="F16" s="91" t="s">
        <v>1141</v>
      </c>
    </row>
    <row r="17" spans="1:6">
      <c r="A17" s="88" t="s">
        <v>1149</v>
      </c>
      <c r="B17" s="89" t="s">
        <v>38</v>
      </c>
      <c r="C17" s="88"/>
      <c r="D17" s="88"/>
      <c r="E17" s="86">
        <v>50</v>
      </c>
      <c r="F17" s="91" t="s">
        <v>1137</v>
      </c>
    </row>
    <row r="18" spans="1:6">
      <c r="A18" s="88" t="s">
        <v>1150</v>
      </c>
      <c r="B18" s="89" t="s">
        <v>38</v>
      </c>
      <c r="C18" s="88"/>
      <c r="D18" s="88"/>
      <c r="E18" s="86">
        <v>5</v>
      </c>
      <c r="F18" s="91" t="s">
        <v>1137</v>
      </c>
    </row>
    <row r="19" spans="1:6">
      <c r="A19" s="88" t="s">
        <v>1151</v>
      </c>
      <c r="B19" s="89" t="s">
        <v>38</v>
      </c>
      <c r="C19" s="88"/>
      <c r="D19" s="88"/>
      <c r="E19" s="86">
        <v>5</v>
      </c>
      <c r="F19" s="91" t="s">
        <v>1137</v>
      </c>
    </row>
    <row r="20" spans="1:6">
      <c r="A20" s="88" t="s">
        <v>1152</v>
      </c>
      <c r="B20" s="89" t="s">
        <v>38</v>
      </c>
      <c r="C20" s="88"/>
      <c r="D20" s="88"/>
      <c r="E20" s="86">
        <v>5</v>
      </c>
      <c r="F20" s="91" t="s">
        <v>1141</v>
      </c>
    </row>
    <row r="21" spans="1:6">
      <c r="A21" s="88" t="s">
        <v>1153</v>
      </c>
      <c r="B21" s="89" t="s">
        <v>38</v>
      </c>
      <c r="C21" s="88"/>
      <c r="D21" s="88"/>
      <c r="E21" s="86">
        <v>5</v>
      </c>
      <c r="F21" s="91" t="s">
        <v>1141</v>
      </c>
    </row>
    <row r="22" spans="1:6">
      <c r="A22" s="88" t="s">
        <v>1154</v>
      </c>
      <c r="B22" s="89" t="s">
        <v>38</v>
      </c>
      <c r="C22" s="88"/>
      <c r="D22" s="88"/>
      <c r="E22" s="86">
        <v>5</v>
      </c>
      <c r="F22" s="91" t="s">
        <v>1141</v>
      </c>
    </row>
    <row r="23" spans="1:6">
      <c r="A23" s="88" t="s">
        <v>1155</v>
      </c>
      <c r="B23" s="92" t="s">
        <v>1156</v>
      </c>
      <c r="C23" s="88"/>
      <c r="D23" s="88"/>
      <c r="E23" s="86">
        <v>5</v>
      </c>
      <c r="F23" s="91" t="s">
        <v>1141</v>
      </c>
    </row>
    <row r="24" spans="1:6">
      <c r="A24" s="88" t="s">
        <v>1157</v>
      </c>
      <c r="B24" s="92" t="s">
        <v>1156</v>
      </c>
      <c r="C24" s="88"/>
      <c r="D24" s="88"/>
      <c r="E24" s="86">
        <v>5</v>
      </c>
      <c r="F24" s="91" t="s">
        <v>1141</v>
      </c>
    </row>
    <row r="25" spans="1:6">
      <c r="A25" s="88" t="s">
        <v>1158</v>
      </c>
      <c r="B25" s="89" t="s">
        <v>38</v>
      </c>
      <c r="C25" s="88"/>
      <c r="D25" s="88"/>
      <c r="E25" s="86">
        <v>5</v>
      </c>
      <c r="F25" s="91" t="s">
        <v>1141</v>
      </c>
    </row>
    <row r="26" spans="1:6">
      <c r="A26" s="88" t="s">
        <v>1159</v>
      </c>
      <c r="B26" s="89" t="s">
        <v>38</v>
      </c>
      <c r="C26" s="88"/>
      <c r="D26" s="88"/>
      <c r="E26" s="86">
        <v>5</v>
      </c>
      <c r="F26" s="91" t="s">
        <v>1137</v>
      </c>
    </row>
    <row r="27" spans="1:6">
      <c r="A27" s="88" t="s">
        <v>1160</v>
      </c>
      <c r="B27" s="89" t="s">
        <v>38</v>
      </c>
      <c r="C27" s="88"/>
      <c r="D27" s="88"/>
      <c r="E27" s="86">
        <v>5</v>
      </c>
      <c r="F27" s="91" t="s">
        <v>1137</v>
      </c>
    </row>
    <row r="28" spans="1:6">
      <c r="A28" s="88" t="s">
        <v>1161</v>
      </c>
      <c r="B28" s="89" t="s">
        <v>38</v>
      </c>
      <c r="C28" s="88"/>
      <c r="D28" s="88"/>
      <c r="E28" s="86">
        <v>5</v>
      </c>
      <c r="F28" s="91" t="s">
        <v>1141</v>
      </c>
    </row>
    <row r="29" spans="1:6">
      <c r="A29" s="88" t="s">
        <v>1162</v>
      </c>
      <c r="B29" s="89" t="s">
        <v>38</v>
      </c>
      <c r="C29" s="88"/>
      <c r="D29" s="88"/>
      <c r="E29" s="86">
        <v>5</v>
      </c>
      <c r="F29" s="91" t="s">
        <v>1137</v>
      </c>
    </row>
    <row r="30" spans="1:6">
      <c r="A30" s="88" t="s">
        <v>1163</v>
      </c>
      <c r="B30" s="89" t="s">
        <v>38</v>
      </c>
      <c r="C30" s="88"/>
      <c r="D30" s="88"/>
      <c r="E30" s="86">
        <v>5</v>
      </c>
      <c r="F30" s="91" t="s">
        <v>1137</v>
      </c>
    </row>
    <row r="31" spans="1:6">
      <c r="A31" s="88" t="s">
        <v>1164</v>
      </c>
      <c r="B31" s="89" t="s">
        <v>38</v>
      </c>
      <c r="C31" s="88"/>
      <c r="D31" s="88"/>
      <c r="E31" s="86">
        <v>5</v>
      </c>
      <c r="F31" s="91"/>
    </row>
    <row r="32" spans="1:6">
      <c r="A32" s="88" t="s">
        <v>1165</v>
      </c>
      <c r="B32" s="89" t="s">
        <v>38</v>
      </c>
      <c r="C32" s="88"/>
      <c r="D32" s="88"/>
      <c r="E32" s="86">
        <v>15</v>
      </c>
      <c r="F32" s="91"/>
    </row>
    <row r="33" spans="1:6">
      <c r="A33" s="88" t="s">
        <v>1166</v>
      </c>
      <c r="B33" s="89" t="s">
        <v>38</v>
      </c>
      <c r="C33" s="88"/>
      <c r="D33" s="88"/>
      <c r="E33" s="86">
        <v>20</v>
      </c>
      <c r="F33" s="91"/>
    </row>
    <row r="34" spans="1:6">
      <c r="A34" s="88" t="s">
        <v>1167</v>
      </c>
      <c r="B34" s="89" t="s">
        <v>38</v>
      </c>
      <c r="C34" s="88"/>
      <c r="D34" s="88"/>
      <c r="E34" s="86">
        <v>30</v>
      </c>
      <c r="F34" s="91"/>
    </row>
    <row r="35" spans="1:6">
      <c r="A35" s="88" t="s">
        <v>1168</v>
      </c>
      <c r="B35" s="89" t="s">
        <v>38</v>
      </c>
      <c r="C35" s="5"/>
      <c r="D35" s="88"/>
      <c r="E35" s="86">
        <v>25</v>
      </c>
      <c r="F35" s="91"/>
    </row>
    <row r="36" spans="1:6">
      <c r="A36" s="88" t="s">
        <v>1169</v>
      </c>
      <c r="B36" s="89" t="s">
        <v>38</v>
      </c>
      <c r="C36" s="5"/>
      <c r="D36" s="88"/>
      <c r="E36" s="86">
        <v>20</v>
      </c>
      <c r="F36" s="91"/>
    </row>
    <row r="37" spans="1:6">
      <c r="A37" s="88" t="s">
        <v>1170</v>
      </c>
      <c r="B37" s="92" t="s">
        <v>1156</v>
      </c>
      <c r="C37" s="5"/>
      <c r="D37" s="88"/>
      <c r="E37" s="86">
        <v>60</v>
      </c>
      <c r="F37" s="91" t="s">
        <v>1141</v>
      </c>
    </row>
    <row r="38" spans="1:6">
      <c r="A38" s="88" t="s">
        <v>1171</v>
      </c>
      <c r="B38" s="89"/>
      <c r="C38" s="5"/>
      <c r="D38" s="88"/>
      <c r="E38" s="86">
        <v>40</v>
      </c>
      <c r="F38" s="91"/>
    </row>
    <row r="39" spans="1:6">
      <c r="A39" s="88" t="s">
        <v>1172</v>
      </c>
      <c r="B39" s="89"/>
      <c r="C39" s="5"/>
      <c r="D39" s="88"/>
      <c r="E39" s="86">
        <v>60</v>
      </c>
      <c r="F39" s="91"/>
    </row>
    <row r="40" spans="1:6">
      <c r="A40" s="88" t="s">
        <v>1173</v>
      </c>
      <c r="B40" s="89"/>
      <c r="C40" s="5"/>
      <c r="D40" s="88"/>
      <c r="E40" s="86">
        <v>50</v>
      </c>
      <c r="F40" s="91"/>
    </row>
    <row r="41" spans="1:6">
      <c r="A41" s="88" t="s">
        <v>1174</v>
      </c>
      <c r="B41" s="89" t="s">
        <v>38</v>
      </c>
      <c r="C41" s="5"/>
      <c r="D41" s="88"/>
      <c r="E41" s="86">
        <v>10</v>
      </c>
      <c r="F41" s="91"/>
    </row>
    <row r="42" spans="1:6">
      <c r="A42" s="88" t="s">
        <v>1175</v>
      </c>
      <c r="B42" s="89" t="s">
        <v>38</v>
      </c>
      <c r="C42" s="5"/>
      <c r="D42" s="88"/>
      <c r="E42" s="86">
        <v>20</v>
      </c>
      <c r="F42" s="91"/>
    </row>
    <row r="43" spans="1:6">
      <c r="A43" s="88" t="s">
        <v>1176</v>
      </c>
      <c r="B43" s="89"/>
      <c r="C43" s="5"/>
      <c r="D43" s="88"/>
      <c r="E43" s="86">
        <v>10</v>
      </c>
      <c r="F43" s="91"/>
    </row>
    <row r="44" spans="1:6">
      <c r="A44" s="88" t="s">
        <v>1177</v>
      </c>
      <c r="B44" s="89"/>
      <c r="C44" s="5"/>
      <c r="D44" s="88"/>
      <c r="E44" s="86">
        <v>10</v>
      </c>
      <c r="F44" s="91"/>
    </row>
    <row r="45" spans="1:6">
      <c r="A45" s="88" t="s">
        <v>1178</v>
      </c>
      <c r="B45" s="89"/>
      <c r="C45" s="5"/>
      <c r="D45" s="88"/>
      <c r="E45" s="86">
        <v>10</v>
      </c>
      <c r="F45" s="91"/>
    </row>
    <row r="46" spans="1:6">
      <c r="A46" s="93" t="s">
        <v>1179</v>
      </c>
      <c r="B46" s="89"/>
      <c r="C46" s="94"/>
      <c r="D46" s="88"/>
      <c r="E46" s="86">
        <v>5</v>
      </c>
      <c r="F46" s="91"/>
    </row>
    <row r="47" spans="1:6">
      <c r="A47" s="87"/>
      <c r="B47" s="87"/>
      <c r="C47" s="87"/>
      <c r="D47" s="87"/>
      <c r="E47" s="87"/>
      <c r="F47" s="87"/>
    </row>
  </sheetData>
  <mergeCells count="1">
    <mergeCell ref="A2:D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A3854-B7C1-422E-83D2-D89AABCB8048}">
  <dimension ref="A1:G26"/>
  <sheetViews>
    <sheetView topLeftCell="A13" workbookViewId="0">
      <selection activeCell="C23" sqref="C23"/>
    </sheetView>
  </sheetViews>
  <sheetFormatPr defaultRowHeight="15"/>
  <cols>
    <col min="2" max="2" width="33.5703125" bestFit="1" customWidth="1"/>
    <col min="3" max="3" width="45" customWidth="1"/>
    <col min="4" max="4" width="29.28515625" customWidth="1"/>
  </cols>
  <sheetData>
    <row r="1" spans="1:4">
      <c r="A1" s="21" t="s">
        <v>1180</v>
      </c>
      <c r="B1" s="19" t="s">
        <v>86</v>
      </c>
      <c r="C1" s="21" t="s">
        <v>1181</v>
      </c>
      <c r="D1" s="21" t="s">
        <v>1182</v>
      </c>
    </row>
    <row r="2" spans="1:4">
      <c r="A2" s="16" t="s">
        <v>1183</v>
      </c>
      <c r="B2" s="12" t="s">
        <v>1184</v>
      </c>
      <c r="C2" s="16" t="s">
        <v>1185</v>
      </c>
      <c r="D2" s="10" t="s">
        <v>1186</v>
      </c>
    </row>
    <row r="3" spans="1:4">
      <c r="A3" s="16" t="s">
        <v>1187</v>
      </c>
      <c r="B3" s="12" t="s">
        <v>1133</v>
      </c>
      <c r="C3" s="16" t="s">
        <v>1188</v>
      </c>
      <c r="D3" s="10" t="s">
        <v>1186</v>
      </c>
    </row>
    <row r="4" spans="1:4">
      <c r="A4" s="16" t="s">
        <v>1189</v>
      </c>
      <c r="B4" s="12" t="s">
        <v>1190</v>
      </c>
      <c r="C4" s="16" t="s">
        <v>1191</v>
      </c>
      <c r="D4" s="10" t="s">
        <v>1186</v>
      </c>
    </row>
    <row r="5" spans="1:4">
      <c r="A5" s="16" t="s">
        <v>1192</v>
      </c>
      <c r="B5" s="12" t="s">
        <v>1135</v>
      </c>
      <c r="C5" s="16" t="s">
        <v>1193</v>
      </c>
      <c r="D5" s="10" t="s">
        <v>1186</v>
      </c>
    </row>
    <row r="6" spans="1:4">
      <c r="A6" s="16" t="s">
        <v>1194</v>
      </c>
      <c r="B6" s="12" t="s">
        <v>1195</v>
      </c>
      <c r="C6" s="16" t="s">
        <v>1196</v>
      </c>
      <c r="D6" s="10" t="s">
        <v>1186</v>
      </c>
    </row>
    <row r="7" spans="1:4">
      <c r="A7" s="16" t="s">
        <v>1197</v>
      </c>
      <c r="B7" s="12" t="s">
        <v>1198</v>
      </c>
      <c r="C7" s="16" t="s">
        <v>1199</v>
      </c>
      <c r="D7" s="10" t="s">
        <v>1186</v>
      </c>
    </row>
    <row r="8" spans="1:4">
      <c r="A8" s="16" t="s">
        <v>1200</v>
      </c>
      <c r="B8" s="12" t="s">
        <v>1139</v>
      </c>
      <c r="C8" s="16" t="s">
        <v>1201</v>
      </c>
      <c r="D8" s="10" t="s">
        <v>1186</v>
      </c>
    </row>
    <row r="9" spans="1:4">
      <c r="A9" s="16" t="s">
        <v>1202</v>
      </c>
      <c r="B9" s="12" t="s">
        <v>1203</v>
      </c>
      <c r="C9" s="16" t="s">
        <v>1204</v>
      </c>
      <c r="D9" s="10" t="s">
        <v>1186</v>
      </c>
    </row>
    <row r="10" spans="1:4">
      <c r="A10" s="16" t="s">
        <v>1205</v>
      </c>
      <c r="B10" s="12" t="s">
        <v>1142</v>
      </c>
      <c r="C10" s="16" t="s">
        <v>1206</v>
      </c>
      <c r="D10" s="10" t="s">
        <v>1186</v>
      </c>
    </row>
    <row r="11" spans="1:4">
      <c r="A11" s="16" t="s">
        <v>1207</v>
      </c>
      <c r="B11" s="12" t="s">
        <v>1145</v>
      </c>
      <c r="C11" s="16" t="s">
        <v>1208</v>
      </c>
      <c r="D11" s="10" t="s">
        <v>1186</v>
      </c>
    </row>
    <row r="12" spans="1:4">
      <c r="A12" s="16" t="s">
        <v>1209</v>
      </c>
      <c r="B12" s="23" t="s">
        <v>1210</v>
      </c>
      <c r="C12" s="23" t="s">
        <v>1211</v>
      </c>
      <c r="D12" s="23" t="s">
        <v>1156</v>
      </c>
    </row>
    <row r="13" spans="1:4">
      <c r="A13" s="16" t="s">
        <v>1212</v>
      </c>
      <c r="B13" s="12" t="s">
        <v>1152</v>
      </c>
      <c r="C13" s="16" t="s">
        <v>1213</v>
      </c>
      <c r="D13" s="10" t="s">
        <v>1186</v>
      </c>
    </row>
    <row r="14" spans="1:4">
      <c r="A14" s="16" t="s">
        <v>1214</v>
      </c>
      <c r="B14" s="12" t="s">
        <v>1158</v>
      </c>
      <c r="C14" s="22" t="s">
        <v>1215</v>
      </c>
      <c r="D14" s="10" t="s">
        <v>1186</v>
      </c>
    </row>
    <row r="15" spans="1:4" ht="30.75">
      <c r="A15" s="16" t="s">
        <v>1216</v>
      </c>
      <c r="B15" s="23" t="s">
        <v>1161</v>
      </c>
      <c r="C15" s="23" t="s">
        <v>1217</v>
      </c>
      <c r="D15" s="23" t="s">
        <v>1156</v>
      </c>
    </row>
    <row r="16" spans="1:4">
      <c r="A16" s="16" t="s">
        <v>1218</v>
      </c>
      <c r="B16" s="12" t="s">
        <v>1163</v>
      </c>
      <c r="C16" s="22" t="s">
        <v>1219</v>
      </c>
      <c r="D16" s="10" t="s">
        <v>1186</v>
      </c>
    </row>
    <row r="17" spans="1:7">
      <c r="A17" s="16" t="s">
        <v>1220</v>
      </c>
      <c r="B17" s="12" t="s">
        <v>1221</v>
      </c>
      <c r="C17" s="22" t="s">
        <v>1222</v>
      </c>
      <c r="D17" s="10" t="s">
        <v>1186</v>
      </c>
    </row>
    <row r="18" spans="1:7">
      <c r="A18" s="16" t="s">
        <v>1223</v>
      </c>
      <c r="B18" s="12" t="s">
        <v>1165</v>
      </c>
      <c r="C18" s="22" t="s">
        <v>1224</v>
      </c>
      <c r="D18" s="10" t="s">
        <v>1225</v>
      </c>
    </row>
    <row r="19" spans="1:7" ht="60.75">
      <c r="A19" s="16" t="s">
        <v>1226</v>
      </c>
      <c r="B19" s="8" t="s">
        <v>1227</v>
      </c>
      <c r="C19" s="12" t="s">
        <v>1228</v>
      </c>
      <c r="D19" s="10" t="s">
        <v>1225</v>
      </c>
    </row>
    <row r="20" spans="1:7" ht="30.75">
      <c r="A20" s="16" t="s">
        <v>1229</v>
      </c>
      <c r="B20" s="23" t="s">
        <v>1174</v>
      </c>
      <c r="C20" s="23" t="s">
        <v>1230</v>
      </c>
      <c r="D20" s="23" t="s">
        <v>1231</v>
      </c>
    </row>
    <row r="21" spans="1:7" ht="30.75">
      <c r="A21" s="16" t="s">
        <v>1232</v>
      </c>
      <c r="B21" s="23" t="s">
        <v>1175</v>
      </c>
      <c r="C21" s="23" t="s">
        <v>1233</v>
      </c>
      <c r="D21" s="23" t="s">
        <v>1231</v>
      </c>
    </row>
    <row r="22" spans="1:7">
      <c r="A22" s="16" t="s">
        <v>1234</v>
      </c>
      <c r="B22" s="23"/>
      <c r="C22" s="23" t="s">
        <v>1235</v>
      </c>
      <c r="D22" s="23" t="s">
        <v>1231</v>
      </c>
      <c r="G22" s="27" t="s">
        <v>1236</v>
      </c>
    </row>
    <row r="23" spans="1:7">
      <c r="A23" s="2"/>
    </row>
    <row r="24" spans="1:7">
      <c r="A24" s="2"/>
    </row>
    <row r="25" spans="1:7">
      <c r="A25" s="2"/>
    </row>
    <row r="26" spans="1:7">
      <c r="A26" s="2"/>
    </row>
  </sheetData>
  <hyperlinks>
    <hyperlink ref="G22" r:id="rId1" xr:uid="{765756DA-A35C-4C4B-951D-443304CB478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73561-0811-4CD2-B7AA-349AB3FF6329}">
  <dimension ref="A1:N33"/>
  <sheetViews>
    <sheetView topLeftCell="A18" workbookViewId="0">
      <selection activeCell="C27" sqref="C27:G27"/>
    </sheetView>
  </sheetViews>
  <sheetFormatPr defaultRowHeight="15"/>
  <cols>
    <col min="2" max="2" width="49" customWidth="1"/>
    <col min="3" max="3" width="45.85546875" customWidth="1"/>
    <col min="4" max="4" width="21.28515625" customWidth="1"/>
  </cols>
  <sheetData>
    <row r="1" spans="1:5">
      <c r="A1" s="19" t="s">
        <v>1180</v>
      </c>
      <c r="B1" s="19" t="s">
        <v>86</v>
      </c>
      <c r="C1" s="19" t="s">
        <v>1181</v>
      </c>
      <c r="D1" s="45" t="s">
        <v>1182</v>
      </c>
      <c r="E1" s="24" t="s">
        <v>10</v>
      </c>
    </row>
    <row r="2" spans="1:5">
      <c r="A2" s="12" t="s">
        <v>1183</v>
      </c>
      <c r="B2" s="12" t="s">
        <v>24</v>
      </c>
      <c r="C2" s="12" t="s">
        <v>1237</v>
      </c>
      <c r="D2" s="38" t="s">
        <v>1225</v>
      </c>
      <c r="E2" s="10"/>
    </row>
    <row r="3" spans="1:5">
      <c r="A3" s="12" t="s">
        <v>1187</v>
      </c>
      <c r="B3" s="12" t="s">
        <v>1133</v>
      </c>
      <c r="C3" s="12" t="s">
        <v>1188</v>
      </c>
      <c r="D3" s="38" t="s">
        <v>1225</v>
      </c>
      <c r="E3" s="10"/>
    </row>
    <row r="4" spans="1:5">
      <c r="A4" s="12" t="s">
        <v>1189</v>
      </c>
      <c r="B4" s="12" t="s">
        <v>1190</v>
      </c>
      <c r="C4" s="12" t="s">
        <v>1191</v>
      </c>
      <c r="D4" s="38" t="s">
        <v>1225</v>
      </c>
      <c r="E4" s="10"/>
    </row>
    <row r="5" spans="1:5">
      <c r="A5" s="12" t="s">
        <v>1192</v>
      </c>
      <c r="B5" s="12" t="s">
        <v>1135</v>
      </c>
      <c r="C5" s="12" t="s">
        <v>1193</v>
      </c>
      <c r="D5" s="38" t="s">
        <v>1225</v>
      </c>
      <c r="E5" s="10"/>
    </row>
    <row r="6" spans="1:5">
      <c r="A6" s="12" t="s">
        <v>1194</v>
      </c>
      <c r="B6" s="12" t="s">
        <v>1195</v>
      </c>
      <c r="C6" s="12" t="s">
        <v>1196</v>
      </c>
      <c r="D6" s="38" t="s">
        <v>1225</v>
      </c>
      <c r="E6" s="10"/>
    </row>
    <row r="7" spans="1:5">
      <c r="A7" s="12" t="s">
        <v>1197</v>
      </c>
      <c r="B7" s="12" t="s">
        <v>1198</v>
      </c>
      <c r="C7" s="12" t="s">
        <v>1199</v>
      </c>
      <c r="D7" s="38" t="s">
        <v>1225</v>
      </c>
      <c r="E7" s="10"/>
    </row>
    <row r="8" spans="1:5">
      <c r="A8" s="12" t="s">
        <v>1200</v>
      </c>
      <c r="B8" s="12" t="s">
        <v>1139</v>
      </c>
      <c r="C8" s="12" t="s">
        <v>1201</v>
      </c>
      <c r="D8" s="38" t="s">
        <v>1225</v>
      </c>
      <c r="E8" s="10"/>
    </row>
    <row r="9" spans="1:5">
      <c r="A9" s="12" t="s">
        <v>1202</v>
      </c>
      <c r="B9" s="12" t="s">
        <v>1203</v>
      </c>
      <c r="C9" s="12" t="s">
        <v>1204</v>
      </c>
      <c r="D9" s="38" t="s">
        <v>1225</v>
      </c>
      <c r="E9" s="10"/>
    </row>
    <row r="10" spans="1:5">
      <c r="A10" s="12" t="s">
        <v>1205</v>
      </c>
      <c r="B10" s="12" t="s">
        <v>1142</v>
      </c>
      <c r="C10" s="12" t="s">
        <v>1206</v>
      </c>
      <c r="D10" s="38" t="s">
        <v>1225</v>
      </c>
      <c r="E10" s="10"/>
    </row>
    <row r="11" spans="1:5">
      <c r="A11" s="12" t="s">
        <v>1207</v>
      </c>
      <c r="B11" s="12" t="s">
        <v>1144</v>
      </c>
      <c r="C11" s="12" t="s">
        <v>1238</v>
      </c>
      <c r="D11" s="38" t="s">
        <v>1225</v>
      </c>
      <c r="E11" s="10"/>
    </row>
    <row r="12" spans="1:5">
      <c r="A12" s="12" t="s">
        <v>1209</v>
      </c>
      <c r="B12" s="12" t="s">
        <v>1145</v>
      </c>
      <c r="C12" s="12" t="s">
        <v>1208</v>
      </c>
      <c r="D12" s="38" t="s">
        <v>1225</v>
      </c>
      <c r="E12" s="10"/>
    </row>
    <row r="13" spans="1:5">
      <c r="A13" s="12" t="s">
        <v>1212</v>
      </c>
      <c r="B13" s="12" t="s">
        <v>1146</v>
      </c>
      <c r="C13" s="12" t="s">
        <v>1239</v>
      </c>
      <c r="D13" s="38" t="s">
        <v>1225</v>
      </c>
      <c r="E13" s="10"/>
    </row>
    <row r="14" spans="1:5">
      <c r="A14" s="12" t="s">
        <v>1214</v>
      </c>
      <c r="B14" s="12" t="s">
        <v>1210</v>
      </c>
      <c r="C14" s="12" t="s">
        <v>1211</v>
      </c>
      <c r="D14" s="38" t="s">
        <v>1225</v>
      </c>
      <c r="E14" s="10"/>
    </row>
    <row r="15" spans="1:5">
      <c r="A15" s="12" t="s">
        <v>1216</v>
      </c>
      <c r="B15" s="12" t="s">
        <v>1240</v>
      </c>
      <c r="C15" s="12" t="s">
        <v>1241</v>
      </c>
      <c r="D15" s="38" t="s">
        <v>1225</v>
      </c>
      <c r="E15" s="10"/>
    </row>
    <row r="16" spans="1:5">
      <c r="A16" s="12" t="s">
        <v>1218</v>
      </c>
      <c r="B16" s="32" t="s">
        <v>1152</v>
      </c>
      <c r="C16" s="32" t="s">
        <v>1213</v>
      </c>
      <c r="D16" s="46" t="s">
        <v>1225</v>
      </c>
      <c r="E16" s="10"/>
    </row>
    <row r="17" spans="1:14">
      <c r="A17" s="12" t="s">
        <v>1220</v>
      </c>
      <c r="B17" s="32" t="s">
        <v>1154</v>
      </c>
      <c r="C17" s="32" t="s">
        <v>1242</v>
      </c>
      <c r="D17" s="46" t="s">
        <v>1225</v>
      </c>
      <c r="E17" s="10"/>
    </row>
    <row r="18" spans="1:14" ht="106.5">
      <c r="A18" s="48" t="s">
        <v>1223</v>
      </c>
      <c r="B18" s="48" t="s">
        <v>1155</v>
      </c>
      <c r="C18" s="48" t="s">
        <v>1243</v>
      </c>
      <c r="D18" s="49" t="s">
        <v>1244</v>
      </c>
      <c r="E18" s="10"/>
    </row>
    <row r="19" spans="1:14" ht="30.75">
      <c r="A19" s="12" t="s">
        <v>1226</v>
      </c>
      <c r="B19" s="32" t="s">
        <v>1157</v>
      </c>
      <c r="C19" s="37" t="s">
        <v>1245</v>
      </c>
      <c r="D19" s="46" t="s">
        <v>1225</v>
      </c>
      <c r="E19" s="10"/>
    </row>
    <row r="20" spans="1:14">
      <c r="A20" s="12" t="s">
        <v>1229</v>
      </c>
      <c r="B20" s="32" t="s">
        <v>1158</v>
      </c>
      <c r="C20" s="37" t="s">
        <v>1215</v>
      </c>
      <c r="D20" s="46" t="s">
        <v>1225</v>
      </c>
      <c r="E20" s="10"/>
    </row>
    <row r="21" spans="1:14">
      <c r="A21" s="12" t="s">
        <v>1232</v>
      </c>
      <c r="B21" s="32" t="s">
        <v>1160</v>
      </c>
      <c r="C21" s="37" t="s">
        <v>1246</v>
      </c>
      <c r="D21" s="46" t="s">
        <v>1225</v>
      </c>
      <c r="E21" s="10"/>
      <c r="N21" s="27" t="s">
        <v>1247</v>
      </c>
    </row>
    <row r="22" spans="1:14" ht="30.75">
      <c r="A22" s="12" t="s">
        <v>1234</v>
      </c>
      <c r="B22" s="32" t="s">
        <v>1161</v>
      </c>
      <c r="C22" s="37" t="s">
        <v>1217</v>
      </c>
      <c r="D22" s="46" t="s">
        <v>1225</v>
      </c>
      <c r="E22" s="10"/>
    </row>
    <row r="23" spans="1:14" ht="30.75">
      <c r="A23" s="12" t="s">
        <v>1248</v>
      </c>
      <c r="B23" s="32" t="s">
        <v>1162</v>
      </c>
      <c r="C23" s="37" t="s">
        <v>1249</v>
      </c>
      <c r="D23" s="46" t="s">
        <v>1225</v>
      </c>
      <c r="E23" s="10"/>
    </row>
    <row r="24" spans="1:14">
      <c r="A24" s="12" t="s">
        <v>1250</v>
      </c>
      <c r="B24" s="32" t="s">
        <v>1163</v>
      </c>
      <c r="C24" s="37" t="s">
        <v>1219</v>
      </c>
      <c r="D24" s="46" t="s">
        <v>1225</v>
      </c>
      <c r="E24" s="10"/>
    </row>
    <row r="25" spans="1:14">
      <c r="A25" s="12" t="s">
        <v>1251</v>
      </c>
      <c r="B25" s="32" t="s">
        <v>1221</v>
      </c>
      <c r="C25" s="37" t="s">
        <v>1222</v>
      </c>
      <c r="D25" s="46" t="s">
        <v>1225</v>
      </c>
      <c r="E25" s="10"/>
    </row>
    <row r="26" spans="1:14">
      <c r="A26" s="12" t="s">
        <v>1252</v>
      </c>
      <c r="B26" s="32" t="s">
        <v>1165</v>
      </c>
      <c r="C26" s="37" t="s">
        <v>1224</v>
      </c>
      <c r="D26" s="46" t="s">
        <v>1225</v>
      </c>
      <c r="E26" s="10"/>
    </row>
    <row r="27" spans="1:14" ht="45.75">
      <c r="A27" s="12" t="s">
        <v>1253</v>
      </c>
      <c r="B27" s="37" t="s">
        <v>1227</v>
      </c>
      <c r="C27" s="37" t="s">
        <v>1228</v>
      </c>
      <c r="D27" s="46" t="s">
        <v>1225</v>
      </c>
      <c r="E27" s="10"/>
    </row>
    <row r="28" spans="1:14" ht="30.75">
      <c r="A28" s="12" t="s">
        <v>1254</v>
      </c>
      <c r="B28" s="32" t="s">
        <v>1174</v>
      </c>
      <c r="C28" s="37" t="s">
        <v>1230</v>
      </c>
      <c r="D28" s="46" t="s">
        <v>1225</v>
      </c>
      <c r="E28" s="10"/>
    </row>
    <row r="29" spans="1:14" ht="30.75">
      <c r="A29" s="12" t="s">
        <v>1255</v>
      </c>
      <c r="B29" s="32" t="s">
        <v>1175</v>
      </c>
      <c r="C29" s="37" t="s">
        <v>1233</v>
      </c>
      <c r="D29" s="46" t="s">
        <v>1225</v>
      </c>
      <c r="E29" s="10"/>
    </row>
    <row r="30" spans="1:14">
      <c r="A30" s="12" t="s">
        <v>1256</v>
      </c>
      <c r="B30" s="26" t="s">
        <v>1257</v>
      </c>
      <c r="C30" s="26"/>
      <c r="D30" s="47" t="s">
        <v>1231</v>
      </c>
      <c r="E30" s="10"/>
    </row>
    <row r="31" spans="1:14">
      <c r="A31" s="10"/>
      <c r="B31" s="10"/>
      <c r="C31" s="10"/>
      <c r="D31" s="10"/>
    </row>
    <row r="32" spans="1:14">
      <c r="A32" s="10"/>
      <c r="B32" s="10"/>
      <c r="C32" s="10"/>
      <c r="D32" s="10"/>
    </row>
    <row r="33" spans="1:4">
      <c r="A33" s="10"/>
      <c r="B33" s="10"/>
      <c r="C33" s="10"/>
      <c r="D33" s="10"/>
    </row>
  </sheetData>
  <hyperlinks>
    <hyperlink ref="N21" r:id="rId1" xr:uid="{314F4755-1FF5-49E3-B243-B3A52DFC1766}"/>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7AAA6-9693-48DC-839C-70F8CA3C2F00}">
  <dimension ref="A1:E17"/>
  <sheetViews>
    <sheetView topLeftCell="B1" workbookViewId="0">
      <selection activeCell="B2" sqref="B2:B5"/>
    </sheetView>
  </sheetViews>
  <sheetFormatPr defaultRowHeight="15"/>
  <cols>
    <col min="1" max="2" width="46.42578125" bestFit="1" customWidth="1"/>
    <col min="3" max="3" width="63" customWidth="1"/>
    <col min="4" max="4" width="15.85546875" bestFit="1" customWidth="1"/>
    <col min="5" max="5" width="24.85546875" customWidth="1"/>
  </cols>
  <sheetData>
    <row r="1" spans="1:5">
      <c r="A1" s="19" t="s">
        <v>1180</v>
      </c>
      <c r="B1" s="19" t="s">
        <v>86</v>
      </c>
      <c r="C1" s="19" t="s">
        <v>1181</v>
      </c>
      <c r="D1" s="24" t="s">
        <v>1182</v>
      </c>
      <c r="E1" s="24" t="s">
        <v>10</v>
      </c>
    </row>
    <row r="2" spans="1:5">
      <c r="A2" s="296" t="s">
        <v>369</v>
      </c>
      <c r="B2" s="26" t="s">
        <v>1258</v>
      </c>
      <c r="C2" s="25" t="s">
        <v>1259</v>
      </c>
      <c r="D2" s="25" t="s">
        <v>1231</v>
      </c>
      <c r="E2" s="26" t="s">
        <v>1260</v>
      </c>
    </row>
    <row r="3" spans="1:5">
      <c r="A3" s="297"/>
      <c r="B3" s="26" t="s">
        <v>1261</v>
      </c>
      <c r="C3" s="25" t="s">
        <v>1262</v>
      </c>
      <c r="D3" s="25" t="s">
        <v>1231</v>
      </c>
      <c r="E3" s="26" t="s">
        <v>1260</v>
      </c>
    </row>
    <row r="4" spans="1:5">
      <c r="A4" s="297"/>
      <c r="B4" s="26" t="s">
        <v>1263</v>
      </c>
      <c r="C4" s="25" t="s">
        <v>1201</v>
      </c>
      <c r="D4" s="25" t="s">
        <v>1231</v>
      </c>
      <c r="E4" s="26" t="s">
        <v>1260</v>
      </c>
    </row>
    <row r="5" spans="1:5">
      <c r="A5" s="297"/>
      <c r="B5" s="26" t="s">
        <v>1140</v>
      </c>
      <c r="C5" s="25" t="s">
        <v>1204</v>
      </c>
      <c r="D5" s="25" t="s">
        <v>1231</v>
      </c>
      <c r="E5" s="26" t="s">
        <v>1260</v>
      </c>
    </row>
    <row r="6" spans="1:5">
      <c r="A6" s="297"/>
      <c r="B6" s="98" t="s">
        <v>1142</v>
      </c>
      <c r="C6" s="32" t="s">
        <v>1206</v>
      </c>
      <c r="D6" s="12" t="s">
        <v>1186</v>
      </c>
      <c r="E6" s="346" t="s">
        <v>1264</v>
      </c>
    </row>
    <row r="7" spans="1:5" ht="18.75" customHeight="1">
      <c r="A7" s="297"/>
      <c r="B7" s="99" t="s">
        <v>1144</v>
      </c>
      <c r="C7" s="32" t="s">
        <v>1238</v>
      </c>
      <c r="D7" s="12" t="s">
        <v>1186</v>
      </c>
      <c r="E7" s="346"/>
    </row>
    <row r="8" spans="1:5">
      <c r="A8" s="297"/>
      <c r="B8" s="98" t="s">
        <v>1145</v>
      </c>
      <c r="C8" s="32" t="s">
        <v>1208</v>
      </c>
      <c r="D8" s="12" t="s">
        <v>1186</v>
      </c>
      <c r="E8" s="346"/>
    </row>
    <row r="9" spans="1:5">
      <c r="A9" s="297"/>
      <c r="B9" s="98" t="s">
        <v>1265</v>
      </c>
      <c r="C9" s="32" t="s">
        <v>1211</v>
      </c>
      <c r="D9" s="12" t="s">
        <v>1186</v>
      </c>
      <c r="E9" s="346"/>
    </row>
    <row r="10" spans="1:5">
      <c r="A10" s="297"/>
      <c r="B10" s="98" t="s">
        <v>1151</v>
      </c>
      <c r="C10" s="32" t="s">
        <v>1241</v>
      </c>
      <c r="D10" s="12" t="s">
        <v>1186</v>
      </c>
      <c r="E10" s="346"/>
    </row>
    <row r="11" spans="1:5">
      <c r="A11" s="297"/>
      <c r="B11" s="98" t="s">
        <v>1152</v>
      </c>
      <c r="C11" s="32" t="s">
        <v>1213</v>
      </c>
      <c r="D11" s="12" t="s">
        <v>1186</v>
      </c>
      <c r="E11" s="346"/>
    </row>
    <row r="12" spans="1:5">
      <c r="A12" s="297"/>
      <c r="B12" s="98" t="s">
        <v>1154</v>
      </c>
      <c r="C12" s="32" t="s">
        <v>1242</v>
      </c>
      <c r="D12" s="12" t="s">
        <v>1186</v>
      </c>
      <c r="E12" s="346"/>
    </row>
    <row r="13" spans="1:5">
      <c r="A13" s="297"/>
      <c r="B13" s="98" t="s">
        <v>1158</v>
      </c>
      <c r="C13" s="32" t="s">
        <v>1215</v>
      </c>
      <c r="D13" s="12" t="s">
        <v>1186</v>
      </c>
      <c r="E13" s="346"/>
    </row>
    <row r="14" spans="1:5">
      <c r="A14" s="297"/>
      <c r="B14" s="98" t="s">
        <v>1160</v>
      </c>
      <c r="C14" s="37" t="s">
        <v>1246</v>
      </c>
      <c r="D14" s="12" t="s">
        <v>1186</v>
      </c>
      <c r="E14" s="346"/>
    </row>
    <row r="15" spans="1:5" ht="17.25" customHeight="1">
      <c r="A15" s="297"/>
      <c r="B15" s="98" t="s">
        <v>1161</v>
      </c>
      <c r="C15" s="37" t="s">
        <v>1217</v>
      </c>
      <c r="D15" s="12" t="s">
        <v>1186</v>
      </c>
      <c r="E15" s="346"/>
    </row>
    <row r="16" spans="1:5">
      <c r="A16" s="297"/>
      <c r="B16" s="98" t="s">
        <v>1162</v>
      </c>
      <c r="C16" s="32" t="s">
        <v>1249</v>
      </c>
      <c r="D16" s="12" t="s">
        <v>1186</v>
      </c>
      <c r="E16" s="346"/>
    </row>
    <row r="17" spans="1:5">
      <c r="A17" s="304"/>
      <c r="B17" s="98" t="s">
        <v>1266</v>
      </c>
      <c r="C17" s="32" t="s">
        <v>1228</v>
      </c>
      <c r="D17" s="12" t="s">
        <v>1186</v>
      </c>
      <c r="E17" s="346"/>
    </row>
  </sheetData>
  <mergeCells count="2">
    <mergeCell ref="E6:E17"/>
    <mergeCell ref="A2:A1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EB4DC-C7CC-48C3-A34B-57F40DFC751B}">
  <dimension ref="A1:E23"/>
  <sheetViews>
    <sheetView workbookViewId="0">
      <selection activeCell="B9" sqref="B9"/>
    </sheetView>
  </sheetViews>
  <sheetFormatPr defaultRowHeight="15"/>
  <cols>
    <col min="1" max="1" width="14" bestFit="1" customWidth="1"/>
    <col min="2" max="2" width="75.5703125" bestFit="1" customWidth="1"/>
    <col min="3" max="3" width="51.7109375" customWidth="1"/>
    <col min="4" max="4" width="15.85546875" bestFit="1" customWidth="1"/>
    <col min="5" max="5" width="49.28515625" bestFit="1" customWidth="1"/>
  </cols>
  <sheetData>
    <row r="1" spans="1:5">
      <c r="A1" s="66" t="s">
        <v>1180</v>
      </c>
      <c r="B1" s="66" t="s">
        <v>86</v>
      </c>
      <c r="C1" s="66" t="s">
        <v>1181</v>
      </c>
      <c r="D1" s="67" t="s">
        <v>1182</v>
      </c>
      <c r="E1" s="64" t="s">
        <v>10</v>
      </c>
    </row>
    <row r="2" spans="1:5">
      <c r="A2" s="317" t="s">
        <v>1267</v>
      </c>
      <c r="B2" s="26" t="s">
        <v>1258</v>
      </c>
      <c r="C2" s="25" t="s">
        <v>1201</v>
      </c>
      <c r="D2" s="25" t="s">
        <v>1231</v>
      </c>
      <c r="E2" s="69" t="s">
        <v>1260</v>
      </c>
    </row>
    <row r="3" spans="1:5">
      <c r="A3" s="317"/>
      <c r="B3" s="26" t="s">
        <v>1140</v>
      </c>
      <c r="C3" s="25" t="s">
        <v>1204</v>
      </c>
      <c r="D3" s="25" t="s">
        <v>1231</v>
      </c>
      <c r="E3" s="69" t="s">
        <v>1260</v>
      </c>
    </row>
    <row r="4" spans="1:5">
      <c r="A4" s="317"/>
      <c r="B4" s="26" t="s">
        <v>1142</v>
      </c>
      <c r="C4" s="25" t="s">
        <v>1206</v>
      </c>
      <c r="D4" s="25" t="s">
        <v>1231</v>
      </c>
      <c r="E4" s="41" t="s">
        <v>1268</v>
      </c>
    </row>
    <row r="5" spans="1:5">
      <c r="A5" s="317"/>
      <c r="B5" s="26" t="s">
        <v>1145</v>
      </c>
      <c r="C5" s="25" t="s">
        <v>1208</v>
      </c>
      <c r="D5" s="25" t="s">
        <v>1231</v>
      </c>
      <c r="E5" s="41" t="s">
        <v>1268</v>
      </c>
    </row>
    <row r="6" spans="1:5">
      <c r="A6" s="317"/>
      <c r="B6" s="26" t="s">
        <v>1265</v>
      </c>
      <c r="C6" s="25" t="s">
        <v>1211</v>
      </c>
      <c r="D6" s="25" t="s">
        <v>1231</v>
      </c>
      <c r="E6" s="41" t="s">
        <v>1268</v>
      </c>
    </row>
    <row r="7" spans="1:5">
      <c r="A7" s="317"/>
      <c r="B7" s="26" t="s">
        <v>1152</v>
      </c>
      <c r="C7" s="25" t="s">
        <v>1213</v>
      </c>
      <c r="D7" s="25" t="s">
        <v>1231</v>
      </c>
      <c r="E7" s="41" t="s">
        <v>1268</v>
      </c>
    </row>
    <row r="8" spans="1:5">
      <c r="A8" s="317"/>
      <c r="B8" s="26" t="s">
        <v>1158</v>
      </c>
      <c r="C8" s="25" t="s">
        <v>1215</v>
      </c>
      <c r="D8" s="25" t="s">
        <v>1231</v>
      </c>
      <c r="E8" s="41" t="s">
        <v>1268</v>
      </c>
    </row>
    <row r="9" spans="1:5" ht="30.75">
      <c r="A9" s="317"/>
      <c r="B9" s="26" t="s">
        <v>1161</v>
      </c>
      <c r="C9" s="20" t="s">
        <v>1217</v>
      </c>
      <c r="D9" s="25" t="s">
        <v>1231</v>
      </c>
      <c r="E9" s="41" t="s">
        <v>1268</v>
      </c>
    </row>
    <row r="10" spans="1:5">
      <c r="A10" s="33"/>
      <c r="C10" s="33"/>
      <c r="D10" s="33"/>
    </row>
    <row r="11" spans="1:5">
      <c r="A11" s="33"/>
      <c r="C11" s="33"/>
      <c r="D11" s="33"/>
    </row>
    <row r="12" spans="1:5">
      <c r="A12" s="33"/>
      <c r="C12" s="33"/>
      <c r="D12" s="33"/>
    </row>
    <row r="13" spans="1:5">
      <c r="A13" s="33"/>
      <c r="C13" s="33"/>
      <c r="D13" s="33"/>
    </row>
    <row r="14" spans="1:5">
      <c r="A14" s="33"/>
      <c r="C14" s="33"/>
      <c r="D14" s="33"/>
    </row>
    <row r="15" spans="1:5">
      <c r="A15" s="33"/>
      <c r="C15" s="33"/>
      <c r="D15" s="33"/>
    </row>
    <row r="16" spans="1:5">
      <c r="A16" s="33"/>
      <c r="D16" s="33"/>
    </row>
    <row r="17" spans="1:3">
      <c r="A17" s="33"/>
    </row>
    <row r="18" spans="1:3">
      <c r="A18" s="33"/>
    </row>
    <row r="19" spans="1:3">
      <c r="A19" s="33"/>
    </row>
    <row r="20" spans="1:3">
      <c r="A20" s="33"/>
    </row>
    <row r="21" spans="1:3">
      <c r="A21" s="33"/>
    </row>
    <row r="22" spans="1:3">
      <c r="A22" s="2"/>
    </row>
    <row r="23" spans="1:3">
      <c r="C23" s="68"/>
    </row>
  </sheetData>
  <mergeCells count="1">
    <mergeCell ref="A2:A9"/>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3D83C-E78E-4330-9194-56E987762458}">
  <dimension ref="A1:E40"/>
  <sheetViews>
    <sheetView topLeftCell="B2" workbookViewId="0">
      <selection activeCell="B2" sqref="B2:B3"/>
    </sheetView>
  </sheetViews>
  <sheetFormatPr defaultRowHeight="15"/>
  <cols>
    <col min="1" max="1" width="16.140625" customWidth="1"/>
    <col min="2" max="2" width="75.5703125" bestFit="1" customWidth="1"/>
    <col min="3" max="3" width="51.7109375" customWidth="1"/>
    <col min="4" max="4" width="15.85546875" bestFit="1" customWidth="1"/>
    <col min="5" max="5" width="23.85546875" customWidth="1"/>
  </cols>
  <sheetData>
    <row r="1" spans="1:5">
      <c r="A1" s="61" t="s">
        <v>1180</v>
      </c>
      <c r="B1" s="61" t="s">
        <v>86</v>
      </c>
      <c r="C1" s="61" t="s">
        <v>1181</v>
      </c>
      <c r="D1" s="62" t="s">
        <v>1182</v>
      </c>
      <c r="E1" s="64" t="s">
        <v>10</v>
      </c>
    </row>
    <row r="2" spans="1:5">
      <c r="A2" s="347" t="s">
        <v>363</v>
      </c>
      <c r="B2" s="55" t="s">
        <v>1269</v>
      </c>
      <c r="C2" s="56" t="s">
        <v>1201</v>
      </c>
      <c r="D2" s="56" t="s">
        <v>1231</v>
      </c>
      <c r="E2" s="69" t="s">
        <v>1260</v>
      </c>
    </row>
    <row r="3" spans="1:5">
      <c r="A3" s="347"/>
      <c r="B3" s="55" t="s">
        <v>1140</v>
      </c>
      <c r="C3" s="56" t="s">
        <v>1204</v>
      </c>
      <c r="D3" s="56" t="s">
        <v>1231</v>
      </c>
      <c r="E3" s="69" t="s">
        <v>1260</v>
      </c>
    </row>
    <row r="4" spans="1:5">
      <c r="A4" s="347"/>
      <c r="B4" s="54" t="s">
        <v>1142</v>
      </c>
      <c r="C4" s="58" t="s">
        <v>1206</v>
      </c>
      <c r="D4" s="57" t="s">
        <v>1186</v>
      </c>
    </row>
    <row r="5" spans="1:5">
      <c r="A5" s="347"/>
      <c r="B5" s="54" t="s">
        <v>1144</v>
      </c>
      <c r="C5" s="57" t="s">
        <v>1238</v>
      </c>
      <c r="D5" s="57" t="s">
        <v>1186</v>
      </c>
    </row>
    <row r="6" spans="1:5">
      <c r="A6" s="347"/>
      <c r="B6" s="54" t="s">
        <v>1145</v>
      </c>
      <c r="C6" s="57" t="s">
        <v>1208</v>
      </c>
      <c r="D6" s="57" t="s">
        <v>1186</v>
      </c>
    </row>
    <row r="7" spans="1:5">
      <c r="A7" s="347"/>
      <c r="B7" s="54" t="s">
        <v>1265</v>
      </c>
      <c r="C7" s="57" t="s">
        <v>1211</v>
      </c>
      <c r="D7" s="57" t="s">
        <v>1186</v>
      </c>
    </row>
    <row r="8" spans="1:5">
      <c r="A8" s="347"/>
      <c r="B8" s="54" t="s">
        <v>1151</v>
      </c>
      <c r="C8" s="57" t="s">
        <v>1241</v>
      </c>
      <c r="D8" s="57" t="s">
        <v>1186</v>
      </c>
    </row>
    <row r="9" spans="1:5">
      <c r="A9" s="347"/>
      <c r="B9" s="54" t="s">
        <v>1152</v>
      </c>
      <c r="C9" s="57" t="s">
        <v>1213</v>
      </c>
      <c r="D9" s="57" t="s">
        <v>1186</v>
      </c>
    </row>
    <row r="10" spans="1:5">
      <c r="A10" s="347"/>
      <c r="B10" s="54" t="s">
        <v>1154</v>
      </c>
      <c r="C10" s="57" t="s">
        <v>1242</v>
      </c>
      <c r="D10" s="57" t="s">
        <v>1186</v>
      </c>
    </row>
    <row r="11" spans="1:5">
      <c r="A11" s="347"/>
      <c r="B11" s="59" t="s">
        <v>1158</v>
      </c>
      <c r="C11" s="58" t="s">
        <v>1215</v>
      </c>
      <c r="D11" s="57" t="s">
        <v>1186</v>
      </c>
    </row>
    <row r="12" spans="1:5">
      <c r="A12" s="347"/>
      <c r="B12" s="59" t="s">
        <v>1160</v>
      </c>
      <c r="C12" s="60" t="s">
        <v>1246</v>
      </c>
      <c r="D12" s="57" t="s">
        <v>1186</v>
      </c>
    </row>
    <row r="13" spans="1:5" ht="30.75">
      <c r="A13" s="347"/>
      <c r="B13" s="59" t="s">
        <v>1161</v>
      </c>
      <c r="C13" s="60" t="s">
        <v>1217</v>
      </c>
      <c r="D13" s="57" t="s">
        <v>1186</v>
      </c>
    </row>
    <row r="14" spans="1:5">
      <c r="A14" s="347"/>
      <c r="B14" s="59" t="s">
        <v>1162</v>
      </c>
      <c r="C14" s="58" t="s">
        <v>1249</v>
      </c>
      <c r="D14" s="57" t="s">
        <v>1186</v>
      </c>
    </row>
    <row r="15" spans="1:5">
      <c r="A15" s="347"/>
      <c r="B15" s="59" t="s">
        <v>1266</v>
      </c>
      <c r="C15" s="58" t="s">
        <v>1228</v>
      </c>
      <c r="D15" s="57" t="s">
        <v>1186</v>
      </c>
    </row>
    <row r="16" spans="1:5">
      <c r="A16" s="2"/>
      <c r="B16" s="2"/>
      <c r="C16" s="2"/>
    </row>
    <row r="17" spans="1:4">
      <c r="A17" s="2"/>
      <c r="B17" s="2"/>
      <c r="C17" s="2"/>
    </row>
    <row r="18" spans="1:4">
      <c r="A18" s="2"/>
      <c r="B18" s="33"/>
      <c r="C18" s="2"/>
    </row>
    <row r="19" spans="1:4">
      <c r="A19" s="2"/>
      <c r="B19" s="33"/>
      <c r="C19" s="33"/>
    </row>
    <row r="20" spans="1:4">
      <c r="A20" s="2"/>
      <c r="B20" s="33"/>
      <c r="C20" s="34"/>
      <c r="D20" s="33"/>
    </row>
    <row r="21" spans="1:4">
      <c r="A21" s="33"/>
      <c r="B21" s="33"/>
      <c r="C21" s="34"/>
      <c r="D21" s="33"/>
    </row>
    <row r="22" spans="1:4">
      <c r="A22" s="33"/>
      <c r="B22" s="33"/>
      <c r="C22" s="34"/>
      <c r="D22" s="33"/>
    </row>
    <row r="23" spans="1:4">
      <c r="A23" s="33"/>
      <c r="B23" s="33"/>
      <c r="C23" s="34"/>
      <c r="D23" s="33"/>
    </row>
    <row r="24" spans="1:4">
      <c r="A24" s="33"/>
      <c r="B24" s="33"/>
      <c r="C24" s="34"/>
      <c r="D24" s="33"/>
    </row>
    <row r="25" spans="1:4">
      <c r="A25" s="33"/>
      <c r="B25" s="33"/>
      <c r="C25" s="33"/>
      <c r="D25" s="36"/>
    </row>
    <row r="26" spans="1:4">
      <c r="A26" s="33"/>
      <c r="B26" s="33"/>
      <c r="C26" s="33"/>
      <c r="D26" s="33"/>
    </row>
    <row r="27" spans="1:4">
      <c r="A27" s="33"/>
      <c r="B27" s="33"/>
      <c r="C27" s="33"/>
      <c r="D27" s="33"/>
    </row>
    <row r="28" spans="1:4">
      <c r="A28" s="33"/>
      <c r="B28" s="33"/>
      <c r="C28" s="33"/>
      <c r="D28" s="33"/>
    </row>
    <row r="29" spans="1:4">
      <c r="A29" s="33"/>
      <c r="B29" s="33"/>
      <c r="C29" s="33"/>
      <c r="D29" s="33"/>
    </row>
    <row r="30" spans="1:4">
      <c r="A30" s="33"/>
      <c r="B30" s="33"/>
      <c r="C30" s="33"/>
      <c r="D30" s="33"/>
    </row>
    <row r="31" spans="1:4">
      <c r="A31" s="33"/>
      <c r="B31" s="33"/>
      <c r="C31" s="35"/>
      <c r="D31" s="33"/>
    </row>
    <row r="32" spans="1:4">
      <c r="A32" s="33"/>
      <c r="C32" s="32"/>
      <c r="D32" s="35"/>
    </row>
    <row r="33" spans="1:4">
      <c r="A33" s="35"/>
      <c r="D33" s="32"/>
    </row>
    <row r="34" spans="1:4">
      <c r="A34" s="12"/>
    </row>
    <row r="40" spans="1:4">
      <c r="C40" s="27"/>
    </row>
  </sheetData>
  <mergeCells count="1">
    <mergeCell ref="A2:A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B5868-10DC-4DA0-9F31-B5BF0B5B3945}">
  <dimension ref="A1:E43"/>
  <sheetViews>
    <sheetView topLeftCell="C19" workbookViewId="0">
      <selection activeCell="C19" sqref="C19"/>
    </sheetView>
  </sheetViews>
  <sheetFormatPr defaultRowHeight="15"/>
  <cols>
    <col min="1" max="1" width="7.140625" customWidth="1"/>
    <col min="2" max="2" width="75.5703125" bestFit="1" customWidth="1"/>
    <col min="3" max="3" width="47.85546875" bestFit="1" customWidth="1"/>
    <col min="4" max="4" width="19.140625" style="52" customWidth="1"/>
    <col min="5" max="5" width="16" bestFit="1" customWidth="1"/>
  </cols>
  <sheetData>
    <row r="1" spans="1:5">
      <c r="A1" s="19" t="s">
        <v>1180</v>
      </c>
      <c r="B1" s="19" t="s">
        <v>86</v>
      </c>
      <c r="C1" s="19" t="s">
        <v>1181</v>
      </c>
      <c r="D1" s="51" t="s">
        <v>1182</v>
      </c>
      <c r="E1" s="103" t="s">
        <v>28</v>
      </c>
    </row>
    <row r="2" spans="1:5">
      <c r="A2" s="12" t="s">
        <v>1183</v>
      </c>
      <c r="B2" s="12" t="s">
        <v>24</v>
      </c>
      <c r="C2" s="12" t="s">
        <v>1237</v>
      </c>
      <c r="D2" s="100" t="s">
        <v>1186</v>
      </c>
      <c r="E2" s="108">
        <v>6.5972222222222213E-4</v>
      </c>
    </row>
    <row r="3" spans="1:5">
      <c r="A3" s="50" t="s">
        <v>1187</v>
      </c>
      <c r="B3" s="50" t="s">
        <v>1133</v>
      </c>
      <c r="C3" s="50" t="s">
        <v>1188</v>
      </c>
      <c r="D3" s="121" t="s">
        <v>1270</v>
      </c>
      <c r="E3" s="108"/>
    </row>
    <row r="4" spans="1:5">
      <c r="A4" s="12" t="s">
        <v>1189</v>
      </c>
      <c r="B4" s="12" t="s">
        <v>1134</v>
      </c>
      <c r="C4" s="12" t="s">
        <v>1271</v>
      </c>
      <c r="D4" s="100" t="s">
        <v>1186</v>
      </c>
      <c r="E4" s="108">
        <v>1.5046296296296294E-3</v>
      </c>
    </row>
    <row r="5" spans="1:5">
      <c r="A5" s="12" t="s">
        <v>1192</v>
      </c>
      <c r="B5" s="12" t="s">
        <v>1135</v>
      </c>
      <c r="C5" s="12" t="s">
        <v>1193</v>
      </c>
      <c r="D5" s="100" t="s">
        <v>1186</v>
      </c>
      <c r="E5" s="108">
        <v>2.2453703703703702E-3</v>
      </c>
    </row>
    <row r="6" spans="1:5">
      <c r="A6" s="12" t="s">
        <v>1194</v>
      </c>
      <c r="B6" s="12" t="s">
        <v>1195</v>
      </c>
      <c r="C6" s="12" t="s">
        <v>1196</v>
      </c>
      <c r="D6" s="100" t="s">
        <v>1186</v>
      </c>
      <c r="E6" s="108">
        <v>2.1412037037037038E-3</v>
      </c>
    </row>
    <row r="7" spans="1:5">
      <c r="A7" s="12" t="s">
        <v>1197</v>
      </c>
      <c r="B7" s="12" t="s">
        <v>1198</v>
      </c>
      <c r="C7" s="12" t="s">
        <v>1199</v>
      </c>
      <c r="D7" s="100" t="s">
        <v>1186</v>
      </c>
      <c r="E7" s="108">
        <v>2.4537037037037036E-3</v>
      </c>
    </row>
    <row r="8" spans="1:5">
      <c r="A8" s="12" t="s">
        <v>1200</v>
      </c>
      <c r="B8" s="12" t="s">
        <v>1139</v>
      </c>
      <c r="C8" s="12" t="s">
        <v>1201</v>
      </c>
      <c r="D8" s="100" t="s">
        <v>1186</v>
      </c>
      <c r="E8" s="108">
        <v>7.9976851851851858E-3</v>
      </c>
    </row>
    <row r="9" spans="1:5">
      <c r="A9" s="12" t="s">
        <v>1202</v>
      </c>
      <c r="B9" s="12" t="s">
        <v>1203</v>
      </c>
      <c r="C9" s="12" t="s">
        <v>1204</v>
      </c>
      <c r="D9" s="100" t="s">
        <v>1186</v>
      </c>
      <c r="E9" s="108">
        <v>2.5115740740740741E-3</v>
      </c>
    </row>
    <row r="10" spans="1:5">
      <c r="A10" s="12" t="s">
        <v>1205</v>
      </c>
      <c r="B10" s="32" t="s">
        <v>1142</v>
      </c>
      <c r="C10" s="32" t="s">
        <v>1206</v>
      </c>
      <c r="D10" s="101" t="s">
        <v>1186</v>
      </c>
      <c r="E10" s="108">
        <v>6.7129629629629622E-3</v>
      </c>
    </row>
    <row r="11" spans="1:5">
      <c r="A11" s="12" t="s">
        <v>1207</v>
      </c>
      <c r="B11" s="12" t="s">
        <v>1143</v>
      </c>
      <c r="C11" s="12" t="s">
        <v>1272</v>
      </c>
      <c r="D11" s="100" t="s">
        <v>1186</v>
      </c>
      <c r="E11" s="108">
        <v>5.9143518518518521E-3</v>
      </c>
    </row>
    <row r="12" spans="1:5">
      <c r="A12" s="12" t="s">
        <v>1209</v>
      </c>
      <c r="B12" s="12" t="s">
        <v>1144</v>
      </c>
      <c r="C12" s="12" t="s">
        <v>1238</v>
      </c>
      <c r="D12" s="100" t="s">
        <v>1186</v>
      </c>
      <c r="E12" s="108">
        <v>6.3194444444444444E-3</v>
      </c>
    </row>
    <row r="13" spans="1:5">
      <c r="A13" s="12" t="s">
        <v>1212</v>
      </c>
      <c r="B13" s="12" t="s">
        <v>1145</v>
      </c>
      <c r="C13" s="12" t="s">
        <v>1208</v>
      </c>
      <c r="D13" s="100" t="s">
        <v>1186</v>
      </c>
      <c r="E13" s="108">
        <v>6.1921296296296299E-3</v>
      </c>
    </row>
    <row r="14" spans="1:5">
      <c r="A14" s="12" t="s">
        <v>1214</v>
      </c>
      <c r="B14" s="12" t="s">
        <v>1146</v>
      </c>
      <c r="C14" s="12" t="s">
        <v>1239</v>
      </c>
      <c r="D14" s="100" t="s">
        <v>1186</v>
      </c>
      <c r="E14" s="108">
        <v>6.5972222222222222E-3</v>
      </c>
    </row>
    <row r="15" spans="1:5">
      <c r="A15" s="50" t="s">
        <v>1216</v>
      </c>
      <c r="B15" s="50" t="s">
        <v>1147</v>
      </c>
      <c r="C15" s="50" t="s">
        <v>1273</v>
      </c>
      <c r="D15" s="121" t="s">
        <v>1270</v>
      </c>
      <c r="E15" s="108"/>
    </row>
    <row r="16" spans="1:5">
      <c r="A16" s="12" t="s">
        <v>1218</v>
      </c>
      <c r="B16" s="12" t="s">
        <v>1210</v>
      </c>
      <c r="C16" s="12" t="s">
        <v>1211</v>
      </c>
      <c r="D16" s="100" t="s">
        <v>1186</v>
      </c>
      <c r="E16" s="108">
        <v>9.5138888888888894E-3</v>
      </c>
    </row>
    <row r="17" spans="1:5">
      <c r="A17" s="12" t="s">
        <v>1220</v>
      </c>
      <c r="B17" s="12" t="s">
        <v>1274</v>
      </c>
      <c r="C17" s="12" t="s">
        <v>1275</v>
      </c>
      <c r="D17" s="100" t="s">
        <v>1186</v>
      </c>
      <c r="E17" s="108">
        <v>8.6458333333333335E-3</v>
      </c>
    </row>
    <row r="18" spans="1:5">
      <c r="A18" s="12" t="s">
        <v>1223</v>
      </c>
      <c r="B18" s="12" t="s">
        <v>1240</v>
      </c>
      <c r="C18" s="12" t="s">
        <v>1241</v>
      </c>
      <c r="D18" s="100" t="s">
        <v>1186</v>
      </c>
      <c r="E18" s="108">
        <v>9.2939814814814812E-3</v>
      </c>
    </row>
    <row r="19" spans="1:5">
      <c r="A19" s="12" t="s">
        <v>1226</v>
      </c>
      <c r="B19" s="12" t="s">
        <v>1152</v>
      </c>
      <c r="C19" s="12" t="s">
        <v>1213</v>
      </c>
      <c r="D19" s="100" t="s">
        <v>1186</v>
      </c>
      <c r="E19" s="108">
        <v>7.3032407407407412E-3</v>
      </c>
    </row>
    <row r="20" spans="1:5">
      <c r="A20" s="32" t="s">
        <v>1229</v>
      </c>
      <c r="B20" s="32" t="s">
        <v>1153</v>
      </c>
      <c r="C20" s="32" t="s">
        <v>1276</v>
      </c>
      <c r="D20" s="111" t="s">
        <v>1186</v>
      </c>
      <c r="E20" s="108">
        <v>8.0092592592592594E-3</v>
      </c>
    </row>
    <row r="21" spans="1:5">
      <c r="A21" s="12" t="s">
        <v>1232</v>
      </c>
      <c r="B21" s="12" t="s">
        <v>1154</v>
      </c>
      <c r="C21" s="12" t="s">
        <v>1242</v>
      </c>
      <c r="D21" s="117" t="s">
        <v>1186</v>
      </c>
      <c r="E21" s="118">
        <v>6.2268518518518515E-3</v>
      </c>
    </row>
    <row r="22" spans="1:5" ht="60.75">
      <c r="A22" s="12" t="s">
        <v>1234</v>
      </c>
      <c r="B22" s="63" t="s">
        <v>1155</v>
      </c>
      <c r="C22" s="114" t="s">
        <v>1243</v>
      </c>
      <c r="D22" s="110" t="s">
        <v>1277</v>
      </c>
      <c r="E22" s="108"/>
    </row>
    <row r="23" spans="1:5" ht="30.75">
      <c r="A23" s="50" t="s">
        <v>1248</v>
      </c>
      <c r="B23" s="50" t="s">
        <v>1157</v>
      </c>
      <c r="C23" s="122" t="s">
        <v>1245</v>
      </c>
      <c r="D23" s="123" t="s">
        <v>1278</v>
      </c>
      <c r="E23" s="118">
        <v>9.6990740740740735E-3</v>
      </c>
    </row>
    <row r="24" spans="1:5">
      <c r="A24" s="12" t="s">
        <v>1250</v>
      </c>
      <c r="B24" s="12" t="s">
        <v>1158</v>
      </c>
      <c r="C24" s="29" t="s">
        <v>1215</v>
      </c>
      <c r="D24" s="112" t="s">
        <v>1186</v>
      </c>
      <c r="E24" s="118">
        <v>3.1018518518518522E-3</v>
      </c>
    </row>
    <row r="25" spans="1:5">
      <c r="A25" s="12" t="s">
        <v>1251</v>
      </c>
      <c r="B25" s="12" t="s">
        <v>1159</v>
      </c>
      <c r="C25" s="29" t="s">
        <v>1279</v>
      </c>
      <c r="D25" s="113" t="s">
        <v>1186</v>
      </c>
      <c r="E25" s="118">
        <v>3.6574074074074074E-3</v>
      </c>
    </row>
    <row r="26" spans="1:5">
      <c r="A26" s="12" t="s">
        <v>1252</v>
      </c>
      <c r="B26" s="12" t="s">
        <v>1160</v>
      </c>
      <c r="C26" s="29" t="s">
        <v>1246</v>
      </c>
      <c r="D26" s="113" t="s">
        <v>1186</v>
      </c>
      <c r="E26" s="118">
        <v>2.8240740740740739E-3</v>
      </c>
    </row>
    <row r="27" spans="1:5" ht="30.75">
      <c r="A27" s="12" t="s">
        <v>1253</v>
      </c>
      <c r="B27" s="12" t="s">
        <v>1161</v>
      </c>
      <c r="C27" s="116" t="s">
        <v>1217</v>
      </c>
      <c r="D27" s="113" t="s">
        <v>1186</v>
      </c>
      <c r="E27" s="118">
        <v>8.8541666666666664E-3</v>
      </c>
    </row>
    <row r="28" spans="1:5">
      <c r="A28" s="12" t="s">
        <v>1254</v>
      </c>
      <c r="B28" s="12" t="s">
        <v>1162</v>
      </c>
      <c r="C28" s="29" t="s">
        <v>1249</v>
      </c>
      <c r="D28" s="102" t="s">
        <v>1186</v>
      </c>
      <c r="E28" s="108">
        <v>1.0115740740740741E-2</v>
      </c>
    </row>
    <row r="29" spans="1:5">
      <c r="A29" s="12" t="s">
        <v>1255</v>
      </c>
      <c r="B29" s="12" t="s">
        <v>1163</v>
      </c>
      <c r="C29" s="29" t="s">
        <v>1219</v>
      </c>
      <c r="D29" s="102" t="s">
        <v>1186</v>
      </c>
      <c r="E29" s="108">
        <v>9.5370370370370366E-3</v>
      </c>
    </row>
    <row r="30" spans="1:5">
      <c r="A30" s="12" t="s">
        <v>1256</v>
      </c>
      <c r="B30" s="12" t="s">
        <v>1221</v>
      </c>
      <c r="C30" s="29" t="s">
        <v>1222</v>
      </c>
      <c r="D30" s="113" t="s">
        <v>1186</v>
      </c>
      <c r="E30" s="120">
        <v>9.9189814814814817E-3</v>
      </c>
    </row>
    <row r="31" spans="1:5">
      <c r="A31" s="12" t="s">
        <v>1280</v>
      </c>
      <c r="B31" s="12" t="s">
        <v>1165</v>
      </c>
      <c r="C31" s="29" t="s">
        <v>1224</v>
      </c>
      <c r="D31" s="113" t="s">
        <v>1186</v>
      </c>
      <c r="E31" s="118">
        <v>9.4560185185185181E-3</v>
      </c>
    </row>
    <row r="32" spans="1:5">
      <c r="A32" s="12" t="s">
        <v>1281</v>
      </c>
      <c r="B32" s="12" t="s">
        <v>1227</v>
      </c>
      <c r="C32" s="29" t="s">
        <v>1228</v>
      </c>
      <c r="D32" s="113" t="s">
        <v>1186</v>
      </c>
      <c r="E32" s="118">
        <v>8.5532407407407415E-3</v>
      </c>
    </row>
    <row r="33" spans="1:5">
      <c r="A33" s="12" t="s">
        <v>1282</v>
      </c>
      <c r="B33" s="12" t="s">
        <v>1174</v>
      </c>
      <c r="C33" s="29" t="s">
        <v>1230</v>
      </c>
      <c r="D33" s="111" t="s">
        <v>1186</v>
      </c>
      <c r="E33" s="118">
        <v>4.386574074074074E-3</v>
      </c>
    </row>
    <row r="34" spans="1:5">
      <c r="A34" s="12" t="s">
        <v>1283</v>
      </c>
      <c r="B34" s="12" t="s">
        <v>1175</v>
      </c>
      <c r="C34" s="29" t="s">
        <v>1233</v>
      </c>
      <c r="D34" s="101" t="s">
        <v>1186</v>
      </c>
      <c r="E34" s="108">
        <v>7.3842592592592597E-3</v>
      </c>
    </row>
    <row r="35" spans="1:5">
      <c r="A35" s="12" t="s">
        <v>1284</v>
      </c>
      <c r="B35" s="25" t="s">
        <v>1285</v>
      </c>
      <c r="C35" s="25"/>
      <c r="D35" s="119" t="s">
        <v>19</v>
      </c>
      <c r="E35" s="10"/>
    </row>
    <row r="36" spans="1:5">
      <c r="E36" s="109"/>
    </row>
    <row r="43" spans="1:5">
      <c r="C43" s="27" t="s">
        <v>11</v>
      </c>
    </row>
  </sheetData>
  <hyperlinks>
    <hyperlink ref="C43" r:id="rId1" xr:uid="{81D3AD35-869A-4974-9E88-4ADD38A5DB82}"/>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5288C-D5B7-43B3-8D2D-E395720427F5}">
  <dimension ref="A1:E43"/>
  <sheetViews>
    <sheetView workbookViewId="0">
      <selection activeCell="E35" sqref="E35"/>
    </sheetView>
  </sheetViews>
  <sheetFormatPr defaultRowHeight="15"/>
  <cols>
    <col min="1" max="1" width="7.140625" customWidth="1"/>
    <col min="2" max="2" width="75.5703125" bestFit="1" customWidth="1"/>
    <col min="3" max="3" width="47.85546875" bestFit="1" customWidth="1"/>
    <col min="4" max="4" width="19.140625" style="52" customWidth="1"/>
    <col min="5" max="5" width="16" bestFit="1" customWidth="1"/>
  </cols>
  <sheetData>
    <row r="1" spans="1:5">
      <c r="A1" s="19" t="s">
        <v>1180</v>
      </c>
      <c r="B1" s="19" t="s">
        <v>86</v>
      </c>
      <c r="C1" s="19" t="s">
        <v>1181</v>
      </c>
      <c r="D1" s="51" t="s">
        <v>1182</v>
      </c>
      <c r="E1" s="103" t="s">
        <v>28</v>
      </c>
    </row>
    <row r="2" spans="1:5">
      <c r="A2" s="12" t="s">
        <v>1183</v>
      </c>
      <c r="B2" s="12" t="s">
        <v>24</v>
      </c>
      <c r="C2" s="12" t="s">
        <v>1237</v>
      </c>
      <c r="D2" s="100" t="s">
        <v>1186</v>
      </c>
      <c r="E2" s="108">
        <v>8.7962962962962962E-4</v>
      </c>
    </row>
    <row r="3" spans="1:5">
      <c r="A3" s="12" t="s">
        <v>1187</v>
      </c>
      <c r="B3" s="12" t="s">
        <v>1133</v>
      </c>
      <c r="C3" s="12" t="s">
        <v>1188</v>
      </c>
      <c r="D3" s="100" t="s">
        <v>1186</v>
      </c>
      <c r="E3" s="108">
        <v>9.1435185185185185E-4</v>
      </c>
    </row>
    <row r="4" spans="1:5">
      <c r="A4" s="12" t="s">
        <v>1189</v>
      </c>
      <c r="B4" s="12" t="s">
        <v>1134</v>
      </c>
      <c r="C4" s="12" t="s">
        <v>1271</v>
      </c>
      <c r="D4" s="100" t="s">
        <v>1186</v>
      </c>
      <c r="E4" s="108">
        <v>1.2152777777777778E-3</v>
      </c>
    </row>
    <row r="5" spans="1:5">
      <c r="A5" s="12" t="s">
        <v>1192</v>
      </c>
      <c r="B5" s="12" t="s">
        <v>1135</v>
      </c>
      <c r="C5" s="12" t="s">
        <v>1193</v>
      </c>
      <c r="D5" s="100" t="s">
        <v>1186</v>
      </c>
      <c r="E5" s="108">
        <v>1.8634259259259261E-3</v>
      </c>
    </row>
    <row r="6" spans="1:5">
      <c r="A6" s="12" t="s">
        <v>1194</v>
      </c>
      <c r="B6" s="12" t="s">
        <v>1195</v>
      </c>
      <c r="C6" s="12" t="s">
        <v>1196</v>
      </c>
      <c r="D6" s="100" t="s">
        <v>1186</v>
      </c>
      <c r="E6" s="108">
        <v>1.4004629629629629E-3</v>
      </c>
    </row>
    <row r="7" spans="1:5">
      <c r="A7" s="12" t="s">
        <v>1197</v>
      </c>
      <c r="B7" s="12" t="s">
        <v>1198</v>
      </c>
      <c r="C7" s="12" t="s">
        <v>1199</v>
      </c>
      <c r="D7" s="100" t="s">
        <v>1186</v>
      </c>
      <c r="E7" s="108">
        <v>2.1527777777777778E-3</v>
      </c>
    </row>
    <row r="8" spans="1:5">
      <c r="A8" s="12" t="s">
        <v>1200</v>
      </c>
      <c r="B8" s="12" t="s">
        <v>1139</v>
      </c>
      <c r="C8" s="12" t="s">
        <v>1201</v>
      </c>
      <c r="D8" s="100" t="s">
        <v>1186</v>
      </c>
      <c r="E8" s="108">
        <v>7.4421296296296293E-3</v>
      </c>
    </row>
    <row r="9" spans="1:5">
      <c r="A9" s="12" t="s">
        <v>1202</v>
      </c>
      <c r="B9" s="12" t="s">
        <v>1203</v>
      </c>
      <c r="C9" s="12" t="s">
        <v>1204</v>
      </c>
      <c r="D9" s="100" t="s">
        <v>1186</v>
      </c>
      <c r="E9" s="108">
        <v>2.5115740740740741E-3</v>
      </c>
    </row>
    <row r="10" spans="1:5">
      <c r="A10" s="12" t="s">
        <v>1205</v>
      </c>
      <c r="B10" s="32" t="s">
        <v>1142</v>
      </c>
      <c r="C10" s="32" t="s">
        <v>1206</v>
      </c>
      <c r="D10" s="101" t="s">
        <v>1186</v>
      </c>
      <c r="E10" s="108">
        <v>6.238425925925925E-3</v>
      </c>
    </row>
    <row r="11" spans="1:5">
      <c r="A11" s="12" t="s">
        <v>1207</v>
      </c>
      <c r="B11" s="12" t="s">
        <v>1143</v>
      </c>
      <c r="C11" s="12" t="s">
        <v>1272</v>
      </c>
      <c r="D11" s="100" t="s">
        <v>1186</v>
      </c>
      <c r="E11" s="108">
        <v>5.9143518518518521E-3</v>
      </c>
    </row>
    <row r="12" spans="1:5">
      <c r="A12" s="12" t="s">
        <v>1209</v>
      </c>
      <c r="B12" s="12" t="s">
        <v>1144</v>
      </c>
      <c r="C12" s="12" t="s">
        <v>1238</v>
      </c>
      <c r="D12" s="100" t="s">
        <v>1186</v>
      </c>
      <c r="E12" s="108">
        <v>5.1736111111111115E-3</v>
      </c>
    </row>
    <row r="13" spans="1:5">
      <c r="A13" s="12" t="s">
        <v>1212</v>
      </c>
      <c r="B13" s="12" t="s">
        <v>1145</v>
      </c>
      <c r="C13" s="12" t="s">
        <v>1208</v>
      </c>
      <c r="D13" s="100" t="s">
        <v>1186</v>
      </c>
      <c r="E13" s="108">
        <v>5.4976851851851853E-3</v>
      </c>
    </row>
    <row r="14" spans="1:5">
      <c r="A14" s="12" t="s">
        <v>1214</v>
      </c>
      <c r="B14" s="12" t="s">
        <v>1146</v>
      </c>
      <c r="C14" s="12" t="s">
        <v>1239</v>
      </c>
      <c r="D14" s="100" t="s">
        <v>1186</v>
      </c>
      <c r="E14" s="108">
        <v>5.4629629629629637E-3</v>
      </c>
    </row>
    <row r="15" spans="1:5">
      <c r="A15" s="12" t="s">
        <v>1216</v>
      </c>
      <c r="B15" s="12" t="s">
        <v>1147</v>
      </c>
      <c r="C15" s="12" t="s">
        <v>1273</v>
      </c>
      <c r="D15" s="100" t="s">
        <v>1186</v>
      </c>
      <c r="E15" s="108">
        <v>1.2731481481481483E-3</v>
      </c>
    </row>
    <row r="16" spans="1:5">
      <c r="A16" s="12" t="s">
        <v>1218</v>
      </c>
      <c r="B16" s="12" t="s">
        <v>1210</v>
      </c>
      <c r="C16" s="12" t="s">
        <v>1211</v>
      </c>
      <c r="D16" s="100" t="s">
        <v>1186</v>
      </c>
      <c r="E16" s="108">
        <v>6.1574074074074074E-3</v>
      </c>
    </row>
    <row r="17" spans="1:5">
      <c r="A17" s="12" t="s">
        <v>1220</v>
      </c>
      <c r="B17" s="12" t="s">
        <v>1274</v>
      </c>
      <c r="C17" s="12" t="s">
        <v>1275</v>
      </c>
      <c r="D17" s="100" t="s">
        <v>1186</v>
      </c>
      <c r="E17" s="108">
        <v>7.951388888888888E-3</v>
      </c>
    </row>
    <row r="18" spans="1:5">
      <c r="A18" s="12" t="s">
        <v>1223</v>
      </c>
      <c r="B18" s="12" t="s">
        <v>1240</v>
      </c>
      <c r="C18" s="12" t="s">
        <v>1241</v>
      </c>
      <c r="D18" s="100" t="s">
        <v>1186</v>
      </c>
      <c r="E18" s="108">
        <v>5.8217592592592592E-3</v>
      </c>
    </row>
    <row r="19" spans="1:5">
      <c r="A19" s="12" t="s">
        <v>1226</v>
      </c>
      <c r="B19" s="12" t="s">
        <v>1152</v>
      </c>
      <c r="C19" s="12" t="s">
        <v>1213</v>
      </c>
      <c r="D19" s="100" t="s">
        <v>1186</v>
      </c>
      <c r="E19" s="108">
        <v>7.9976851851851858E-3</v>
      </c>
    </row>
    <row r="20" spans="1:5">
      <c r="A20" s="12" t="s">
        <v>1229</v>
      </c>
      <c r="B20" s="12" t="s">
        <v>1153</v>
      </c>
      <c r="C20" s="12" t="s">
        <v>1276</v>
      </c>
      <c r="D20" s="100" t="s">
        <v>1186</v>
      </c>
      <c r="E20" s="108">
        <v>9.6412037037037039E-3</v>
      </c>
    </row>
    <row r="21" spans="1:5">
      <c r="A21" s="12" t="s">
        <v>1232</v>
      </c>
      <c r="B21" s="12" t="s">
        <v>1154</v>
      </c>
      <c r="C21" s="12" t="s">
        <v>1242</v>
      </c>
      <c r="D21" s="117" t="s">
        <v>1186</v>
      </c>
      <c r="E21" s="118">
        <v>7.6157407407407415E-3</v>
      </c>
    </row>
    <row r="22" spans="1:5" ht="60.75">
      <c r="A22" s="12" t="s">
        <v>1234</v>
      </c>
      <c r="B22" s="63" t="s">
        <v>1155</v>
      </c>
      <c r="C22" s="114" t="s">
        <v>1243</v>
      </c>
      <c r="D22" s="110" t="s">
        <v>1277</v>
      </c>
      <c r="E22" s="108"/>
    </row>
    <row r="23" spans="1:5" ht="30.75">
      <c r="A23" s="12" t="s">
        <v>1248</v>
      </c>
      <c r="B23" s="32" t="s">
        <v>1157</v>
      </c>
      <c r="C23" s="115" t="s">
        <v>1245</v>
      </c>
      <c r="D23" s="111" t="s">
        <v>1186</v>
      </c>
      <c r="E23" s="118">
        <v>3.2870370370370367E-3</v>
      </c>
    </row>
    <row r="24" spans="1:5">
      <c r="A24" s="12" t="s">
        <v>1250</v>
      </c>
      <c r="B24" s="12" t="s">
        <v>1158</v>
      </c>
      <c r="C24" s="29" t="s">
        <v>1215</v>
      </c>
      <c r="D24" s="112" t="s">
        <v>1186</v>
      </c>
      <c r="E24" s="118">
        <v>2.6504629629629625E-3</v>
      </c>
    </row>
    <row r="25" spans="1:5">
      <c r="A25" s="12" t="s">
        <v>1251</v>
      </c>
      <c r="B25" s="12" t="s">
        <v>1159</v>
      </c>
      <c r="C25" s="29" t="s">
        <v>1279</v>
      </c>
      <c r="D25" s="113" t="s">
        <v>1186</v>
      </c>
      <c r="E25" s="118">
        <v>3.0092592592592588E-3</v>
      </c>
    </row>
    <row r="26" spans="1:5">
      <c r="A26" s="12" t="s">
        <v>1252</v>
      </c>
      <c r="B26" s="12" t="s">
        <v>1160</v>
      </c>
      <c r="C26" s="29" t="s">
        <v>1246</v>
      </c>
      <c r="D26" s="113" t="s">
        <v>1186</v>
      </c>
      <c r="E26" s="118">
        <v>2.673611111111111E-3</v>
      </c>
    </row>
    <row r="27" spans="1:5" ht="30.75">
      <c r="A27" s="12" t="s">
        <v>1253</v>
      </c>
      <c r="B27" s="12" t="s">
        <v>1161</v>
      </c>
      <c r="C27" s="116" t="s">
        <v>1217</v>
      </c>
      <c r="D27" s="113" t="s">
        <v>1186</v>
      </c>
      <c r="E27" s="118">
        <v>9.3518518518518525E-3</v>
      </c>
    </row>
    <row r="28" spans="1:5">
      <c r="A28" s="12" t="s">
        <v>1254</v>
      </c>
      <c r="B28" s="12" t="s">
        <v>1162</v>
      </c>
      <c r="C28" s="29" t="s">
        <v>1249</v>
      </c>
      <c r="D28" s="102" t="s">
        <v>1186</v>
      </c>
      <c r="E28" s="108">
        <v>9.7106481481481471E-3</v>
      </c>
    </row>
    <row r="29" spans="1:5">
      <c r="A29" s="12" t="s">
        <v>1255</v>
      </c>
      <c r="B29" s="12" t="s">
        <v>1163</v>
      </c>
      <c r="C29" s="29" t="s">
        <v>1219</v>
      </c>
      <c r="D29" s="102" t="s">
        <v>1186</v>
      </c>
      <c r="E29" s="108">
        <v>3.5416666666666665E-3</v>
      </c>
    </row>
    <row r="30" spans="1:5">
      <c r="A30" s="12" t="s">
        <v>1256</v>
      </c>
      <c r="B30" s="12" t="s">
        <v>1221</v>
      </c>
      <c r="C30" s="29" t="s">
        <v>1222</v>
      </c>
      <c r="D30" s="113" t="s">
        <v>1186</v>
      </c>
      <c r="E30" s="120">
        <v>3.8310185185185183E-3</v>
      </c>
    </row>
    <row r="31" spans="1:5">
      <c r="A31" s="12" t="s">
        <v>1280</v>
      </c>
      <c r="B31" s="12" t="s">
        <v>1165</v>
      </c>
      <c r="C31" s="29" t="s">
        <v>1224</v>
      </c>
      <c r="D31" s="113" t="s">
        <v>1186</v>
      </c>
      <c r="E31" s="118">
        <v>7.6157407407407415E-3</v>
      </c>
    </row>
    <row r="32" spans="1:5">
      <c r="A32" s="12" t="s">
        <v>1281</v>
      </c>
      <c r="B32" s="12" t="s">
        <v>1227</v>
      </c>
      <c r="C32" s="29" t="s">
        <v>1228</v>
      </c>
      <c r="D32" s="113" t="s">
        <v>1186</v>
      </c>
      <c r="E32" s="118">
        <v>8.5532407407407415E-3</v>
      </c>
    </row>
    <row r="33" spans="1:5">
      <c r="A33" s="12" t="s">
        <v>1282</v>
      </c>
      <c r="B33" s="12" t="s">
        <v>1174</v>
      </c>
      <c r="C33" s="29" t="s">
        <v>1230</v>
      </c>
      <c r="D33" s="111" t="s">
        <v>1186</v>
      </c>
      <c r="E33" s="118">
        <v>7.1643518518518514E-3</v>
      </c>
    </row>
    <row r="34" spans="1:5">
      <c r="A34" s="12" t="s">
        <v>1283</v>
      </c>
      <c r="B34" s="12" t="s">
        <v>1175</v>
      </c>
      <c r="C34" s="29" t="s">
        <v>1233</v>
      </c>
      <c r="D34" s="101" t="s">
        <v>1186</v>
      </c>
      <c r="E34" s="108">
        <v>8.0787037037037043E-3</v>
      </c>
    </row>
    <row r="35" spans="1:5">
      <c r="A35" s="12" t="s">
        <v>1284</v>
      </c>
      <c r="B35" s="32" t="s">
        <v>1285</v>
      </c>
      <c r="C35" s="32" t="s">
        <v>1286</v>
      </c>
      <c r="D35" s="124" t="s">
        <v>1186</v>
      </c>
      <c r="E35" s="10"/>
    </row>
    <row r="36" spans="1:5">
      <c r="E36" s="109">
        <f>SUM(E2:E34)</f>
        <v>0.16259259259259259</v>
      </c>
    </row>
    <row r="43" spans="1:5">
      <c r="C43" s="27" t="s">
        <v>11</v>
      </c>
    </row>
  </sheetData>
  <hyperlinks>
    <hyperlink ref="C43" r:id="rId1" xr:uid="{84F3FDD4-8D7F-46BA-8FB7-5A2E7801EAB7}"/>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workbookViewId="0">
      <selection activeCell="K4" sqref="K4"/>
    </sheetView>
  </sheetViews>
  <sheetFormatPr defaultRowHeight="15"/>
  <cols>
    <col min="3" max="3" width="12.28515625" customWidth="1"/>
    <col min="7" max="7" width="13.5703125" customWidth="1"/>
    <col min="8" max="8" width="22" customWidth="1"/>
  </cols>
  <sheetData>
    <row r="1" spans="1:8" ht="45">
      <c r="A1" s="3" t="s">
        <v>0</v>
      </c>
      <c r="B1" s="3" t="s">
        <v>68</v>
      </c>
      <c r="C1" s="3" t="s">
        <v>24</v>
      </c>
      <c r="D1" s="3" t="s">
        <v>69</v>
      </c>
      <c r="E1" s="3" t="s">
        <v>70</v>
      </c>
      <c r="F1" s="3" t="s">
        <v>4</v>
      </c>
      <c r="G1" s="3" t="s">
        <v>71</v>
      </c>
      <c r="H1" s="3" t="s">
        <v>72</v>
      </c>
    </row>
    <row r="2" spans="1:8" ht="30">
      <c r="A2" s="294" t="s">
        <v>11</v>
      </c>
      <c r="B2" s="6">
        <v>33</v>
      </c>
      <c r="C2" s="4" t="s">
        <v>15</v>
      </c>
      <c r="D2" s="6"/>
      <c r="E2" s="6"/>
      <c r="F2" s="6"/>
      <c r="G2" s="4"/>
      <c r="H2" s="4"/>
    </row>
    <row r="3" spans="1:8">
      <c r="A3" s="293"/>
      <c r="B3" s="6">
        <v>33</v>
      </c>
      <c r="C3" s="4" t="s">
        <v>14</v>
      </c>
      <c r="D3" s="6">
        <v>13</v>
      </c>
      <c r="E3" s="6">
        <v>7</v>
      </c>
      <c r="F3" s="6">
        <v>6</v>
      </c>
      <c r="G3" s="4" t="s">
        <v>1287</v>
      </c>
      <c r="H3" s="4"/>
    </row>
    <row r="4" spans="1:8" ht="62.25" customHeight="1">
      <c r="A4" s="295"/>
      <c r="B4" s="6">
        <v>33</v>
      </c>
      <c r="C4" s="4" t="s">
        <v>12</v>
      </c>
      <c r="D4" s="6">
        <v>25</v>
      </c>
      <c r="E4" s="6">
        <v>15</v>
      </c>
      <c r="F4" s="6">
        <v>10</v>
      </c>
      <c r="G4" s="4" t="s">
        <v>78</v>
      </c>
      <c r="H4" s="7" t="s">
        <v>79</v>
      </c>
    </row>
    <row r="5" spans="1:8" ht="30">
      <c r="A5" s="294" t="s">
        <v>18</v>
      </c>
      <c r="B5" s="6">
        <v>28</v>
      </c>
      <c r="C5" s="4" t="s">
        <v>15</v>
      </c>
      <c r="D5" s="6"/>
      <c r="E5" s="6"/>
      <c r="F5" s="6"/>
      <c r="G5" s="4"/>
      <c r="H5" s="4"/>
    </row>
    <row r="6" spans="1:8" ht="132" customHeight="1">
      <c r="A6" s="293"/>
      <c r="B6" s="6">
        <v>28</v>
      </c>
      <c r="C6" s="4" t="s">
        <v>14</v>
      </c>
      <c r="D6" s="6">
        <v>28</v>
      </c>
      <c r="E6" s="2">
        <v>11</v>
      </c>
      <c r="F6" s="6">
        <v>17</v>
      </c>
      <c r="G6" s="4" t="s">
        <v>80</v>
      </c>
      <c r="H6" s="4" t="s">
        <v>81</v>
      </c>
    </row>
    <row r="7" spans="1:8" ht="45">
      <c r="A7" s="295"/>
      <c r="B7" s="6">
        <v>28</v>
      </c>
      <c r="C7" s="4" t="s">
        <v>12</v>
      </c>
      <c r="D7" s="6">
        <v>28</v>
      </c>
      <c r="E7" s="6">
        <v>22</v>
      </c>
      <c r="F7" s="6">
        <v>6</v>
      </c>
      <c r="G7" s="4" t="s">
        <v>75</v>
      </c>
      <c r="H7" s="4" t="s">
        <v>74</v>
      </c>
    </row>
    <row r="8" spans="1:8" ht="30">
      <c r="A8" s="294" t="s">
        <v>22</v>
      </c>
      <c r="B8" s="6">
        <v>20</v>
      </c>
      <c r="C8" s="4" t="s">
        <v>15</v>
      </c>
      <c r="D8" s="6"/>
      <c r="E8" s="6"/>
      <c r="F8" s="6"/>
      <c r="G8" s="4"/>
      <c r="H8" s="4"/>
    </row>
    <row r="9" spans="1:8" ht="90.75" customHeight="1">
      <c r="A9" s="293"/>
      <c r="B9" s="6">
        <v>20</v>
      </c>
      <c r="C9" s="4" t="s">
        <v>14</v>
      </c>
      <c r="D9" s="6">
        <v>20</v>
      </c>
      <c r="E9" s="6"/>
      <c r="F9" s="6"/>
      <c r="G9" s="4"/>
      <c r="H9" s="4" t="s">
        <v>83</v>
      </c>
    </row>
    <row r="10" spans="1:8" ht="30">
      <c r="A10" s="295"/>
      <c r="B10" s="6">
        <v>20</v>
      </c>
      <c r="C10" s="4" t="s">
        <v>12</v>
      </c>
      <c r="D10" s="6">
        <v>20</v>
      </c>
      <c r="E10" s="6">
        <v>20</v>
      </c>
      <c r="F10" s="6">
        <v>0</v>
      </c>
      <c r="G10" s="4" t="s">
        <v>76</v>
      </c>
      <c r="H10" s="4"/>
    </row>
  </sheetData>
  <mergeCells count="3">
    <mergeCell ref="A2:A4"/>
    <mergeCell ref="A5:A7"/>
    <mergeCell ref="A8:A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50e2369-ece1-43a5-95a5-920bce320cc5">
      <Terms xmlns="http://schemas.microsoft.com/office/infopath/2007/PartnerControls"/>
    </lcf76f155ced4ddcb4097134ff3c332f>
    <TaxCatchAll xmlns="46a80f30-2023-4520-92a0-efc6060997b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BC3B6A0C7F28F4496EA12865738F1BA" ma:contentTypeVersion="13" ma:contentTypeDescription="Create a new document." ma:contentTypeScope="" ma:versionID="9a3ebf3d42d6aa000f9832f8b324c3f1">
  <xsd:schema xmlns:xsd="http://www.w3.org/2001/XMLSchema" xmlns:xs="http://www.w3.org/2001/XMLSchema" xmlns:p="http://schemas.microsoft.com/office/2006/metadata/properties" xmlns:ns2="650e2369-ece1-43a5-95a5-920bce320cc5" xmlns:ns3="46a80f30-2023-4520-92a0-efc6060997b4" targetNamespace="http://schemas.microsoft.com/office/2006/metadata/properties" ma:root="true" ma:fieldsID="08d6189cde6d10e4ef36bafe2a13a863" ns2:_="" ns3:_="">
    <xsd:import namespace="650e2369-ece1-43a5-95a5-920bce320cc5"/>
    <xsd:import namespace="46a80f30-2023-4520-92a0-efc6060997b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3:SharedWithUsers" minOccurs="0"/>
                <xsd:element ref="ns3:SharedWithDetails" minOccurs="0"/>
                <xsd:element ref="ns2:MediaServiceGenerationTime" minOccurs="0"/>
                <xsd:element ref="ns2:MediaServiceEventHashCode" minOccurs="0"/>
                <xsd:element ref="ns2:MediaServiceSearchPropertie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0e2369-ece1-43a5-95a5-920bce320c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ed3e4621-623b-40d1-b75d-966d17a4497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6a80f30-2023-4520-92a0-efc6060997b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74184a2-94c5-48bd-97b5-b8fd4442f5bc}" ma:internalName="TaxCatchAll" ma:showField="CatchAllData" ma:web="46a80f30-2023-4520-92a0-efc6060997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57C9C1-3D6A-4575-890D-4C9D6A55D7BE}"/>
</file>

<file path=customXml/itemProps2.xml><?xml version="1.0" encoding="utf-8"?>
<ds:datastoreItem xmlns:ds="http://schemas.openxmlformats.org/officeDocument/2006/customXml" ds:itemID="{BCA31587-DE18-4066-BA1C-527CD6A9DD16}"/>
</file>

<file path=customXml/itemProps3.xml><?xml version="1.0" encoding="utf-8"?>
<ds:datastoreItem xmlns:ds="http://schemas.openxmlformats.org/officeDocument/2006/customXml" ds:itemID="{5F4D972D-6053-430C-8614-BD0CC421BA3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Anandhakumar Radhakrishnan</dc:creator>
  <cp:keywords/>
  <dc:description/>
  <cp:lastModifiedBy>Anandhakumar Radhakrishnan</cp:lastModifiedBy>
  <cp:revision/>
  <dcterms:created xsi:type="dcterms:W3CDTF">2023-08-08T15:32:51Z</dcterms:created>
  <dcterms:modified xsi:type="dcterms:W3CDTF">2024-02-23T13:58:00Z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0x0101008BC3B6A0C7F28F4496EA12865738F1BA</vt:lpwstr>
  </property>
  <property fmtid="{D5CDD505-2E9C-101B-9397-08002B2CF9AE}" pid="3" name="MediaServiceImageTags">
    <vt:lpwstr/>
  </property>
</Properties>
</file>